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urorako_ntnu_no/Documents/Masteroppgave/GAMS_02 - Copy/"/>
    </mc:Choice>
  </mc:AlternateContent>
  <xr:revisionPtr revIDLastSave="0" documentId="13_ncr:1_{AEDE172B-8028-4E88-B8B4-88232C9D528A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Summary" sheetId="1" r:id="rId1"/>
    <sheet name="Structure" sheetId="2" r:id="rId2"/>
    <sheet name="Sheet 1" sheetId="3" r:id="rId3"/>
    <sheet name="Flags 1" sheetId="4" r:id="rId4"/>
    <sheet name="GAMSdata" sheetId="10" r:id="rId5"/>
    <sheet name="GAMSdataOLD" sheetId="5" r:id="rId6"/>
    <sheet name="Deleted countries" sheetId="9" r:id="rId7"/>
    <sheet name="Sheet2" sheetId="8" r:id="rId8"/>
    <sheet name="Sheet1" sheetId="7" r:id="rId9"/>
    <sheet name="TestData" sheetId="6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M17" i="3"/>
  <c r="N17" i="3"/>
  <c r="O17" i="3"/>
  <c r="P17" i="3"/>
  <c r="L18" i="3"/>
  <c r="M18" i="3"/>
  <c r="N18" i="3"/>
  <c r="O18" i="3"/>
  <c r="P18" i="3"/>
  <c r="L19" i="3"/>
  <c r="M19" i="3"/>
  <c r="N19" i="3"/>
  <c r="O19" i="3"/>
  <c r="P19" i="3"/>
  <c r="L20" i="3"/>
  <c r="M20" i="3"/>
  <c r="N20" i="3"/>
  <c r="O20" i="3"/>
  <c r="P20" i="3"/>
  <c r="L21" i="3"/>
  <c r="M21" i="3"/>
  <c r="N21" i="3"/>
  <c r="O21" i="3"/>
  <c r="P21" i="3"/>
  <c r="L22" i="3"/>
  <c r="M22" i="3"/>
  <c r="N22" i="3"/>
  <c r="O22" i="3"/>
  <c r="P22" i="3"/>
  <c r="L23" i="3"/>
  <c r="M23" i="3"/>
  <c r="N23" i="3"/>
  <c r="O23" i="3"/>
  <c r="P23" i="3"/>
  <c r="L24" i="3"/>
  <c r="M24" i="3"/>
  <c r="N24" i="3"/>
  <c r="O24" i="3"/>
  <c r="P24" i="3"/>
  <c r="L25" i="3"/>
  <c r="M25" i="3"/>
  <c r="N25" i="3"/>
  <c r="O25" i="3"/>
  <c r="P25" i="3"/>
  <c r="L26" i="3"/>
  <c r="M26" i="3"/>
  <c r="N26" i="3"/>
  <c r="O26" i="3"/>
  <c r="P26" i="3"/>
  <c r="L27" i="3"/>
  <c r="M27" i="3"/>
  <c r="N27" i="3"/>
  <c r="O27" i="3"/>
  <c r="P27" i="3"/>
  <c r="L28" i="3"/>
  <c r="M28" i="3"/>
  <c r="N28" i="3"/>
  <c r="O28" i="3"/>
  <c r="P28" i="3"/>
  <c r="L29" i="3"/>
  <c r="M29" i="3"/>
  <c r="N29" i="3"/>
  <c r="O29" i="3"/>
  <c r="P29" i="3"/>
  <c r="L30" i="3"/>
  <c r="M30" i="3"/>
  <c r="N30" i="3"/>
  <c r="O30" i="3"/>
  <c r="P30" i="3"/>
  <c r="L31" i="3"/>
  <c r="M31" i="3"/>
  <c r="N31" i="3"/>
  <c r="O31" i="3"/>
  <c r="P31" i="3"/>
  <c r="L32" i="3"/>
  <c r="M32" i="3"/>
  <c r="N32" i="3"/>
  <c r="O32" i="3"/>
  <c r="P32" i="3"/>
  <c r="L33" i="3"/>
  <c r="M33" i="3"/>
  <c r="N33" i="3"/>
  <c r="O33" i="3"/>
  <c r="P33" i="3"/>
  <c r="L34" i="3"/>
  <c r="M34" i="3"/>
  <c r="N34" i="3"/>
  <c r="O34" i="3"/>
  <c r="P34" i="3"/>
  <c r="L35" i="3"/>
  <c r="M35" i="3"/>
  <c r="N35" i="3"/>
  <c r="O35" i="3"/>
  <c r="P35" i="3"/>
  <c r="L36" i="3"/>
  <c r="M36" i="3"/>
  <c r="N36" i="3"/>
  <c r="O36" i="3"/>
  <c r="P36" i="3"/>
  <c r="L37" i="3"/>
  <c r="M37" i="3"/>
  <c r="N37" i="3"/>
  <c r="O37" i="3"/>
  <c r="P37" i="3"/>
  <c r="L38" i="3"/>
  <c r="M38" i="3"/>
  <c r="N38" i="3"/>
  <c r="O38" i="3"/>
  <c r="P38" i="3"/>
  <c r="L39" i="3"/>
  <c r="M39" i="3"/>
  <c r="N39" i="3"/>
  <c r="O39" i="3"/>
  <c r="P39" i="3"/>
  <c r="L40" i="3"/>
  <c r="M40" i="3"/>
  <c r="N40" i="3"/>
  <c r="O40" i="3"/>
  <c r="P40" i="3"/>
  <c r="L41" i="3"/>
  <c r="M41" i="3"/>
  <c r="N41" i="3"/>
  <c r="O41" i="3"/>
  <c r="P41" i="3"/>
  <c r="L42" i="3"/>
  <c r="M42" i="3"/>
  <c r="N42" i="3"/>
  <c r="O42" i="3"/>
  <c r="P42" i="3"/>
  <c r="L43" i="3"/>
  <c r="M43" i="3"/>
  <c r="N43" i="3"/>
  <c r="O43" i="3"/>
  <c r="P43" i="3"/>
  <c r="L44" i="3"/>
  <c r="M44" i="3"/>
  <c r="N44" i="3"/>
  <c r="O44" i="3"/>
  <c r="P44" i="3"/>
  <c r="L45" i="3"/>
  <c r="M45" i="3"/>
  <c r="N45" i="3"/>
  <c r="O45" i="3"/>
  <c r="P45" i="3"/>
  <c r="L46" i="3"/>
  <c r="M46" i="3"/>
  <c r="N46" i="3"/>
  <c r="O46" i="3"/>
  <c r="P46" i="3"/>
  <c r="L47" i="3"/>
  <c r="M47" i="3"/>
  <c r="N47" i="3"/>
  <c r="O47" i="3"/>
  <c r="P47" i="3"/>
  <c r="L48" i="3"/>
  <c r="M48" i="3"/>
  <c r="N48" i="3"/>
  <c r="O48" i="3"/>
  <c r="P48" i="3"/>
  <c r="L49" i="3"/>
  <c r="M49" i="3"/>
  <c r="N49" i="3"/>
  <c r="O49" i="3"/>
  <c r="P49" i="3"/>
  <c r="L50" i="3"/>
  <c r="M50" i="3"/>
  <c r="N50" i="3"/>
  <c r="O50" i="3"/>
  <c r="P50" i="3"/>
  <c r="L51" i="3"/>
  <c r="M51" i="3"/>
  <c r="N51" i="3"/>
  <c r="O51" i="3"/>
  <c r="P51" i="3"/>
  <c r="L52" i="3"/>
  <c r="M52" i="3"/>
  <c r="N52" i="3"/>
  <c r="O52" i="3"/>
  <c r="P52" i="3"/>
  <c r="L53" i="3"/>
  <c r="M53" i="3"/>
  <c r="N53" i="3"/>
  <c r="O53" i="3"/>
  <c r="P53" i="3"/>
  <c r="L54" i="3"/>
  <c r="M54" i="3"/>
  <c r="N54" i="3"/>
  <c r="O54" i="3"/>
  <c r="P54" i="3"/>
  <c r="L55" i="3"/>
  <c r="M55" i="3"/>
  <c r="N55" i="3"/>
  <c r="O55" i="3"/>
  <c r="P55" i="3"/>
  <c r="L56" i="3"/>
  <c r="M56" i="3"/>
  <c r="N56" i="3"/>
  <c r="O56" i="3"/>
  <c r="P56" i="3"/>
  <c r="L57" i="3"/>
  <c r="M57" i="3"/>
  <c r="N57" i="3"/>
  <c r="O57" i="3"/>
  <c r="P57" i="3"/>
  <c r="L58" i="3"/>
  <c r="M58" i="3"/>
  <c r="N58" i="3"/>
  <c r="O58" i="3"/>
  <c r="P58" i="3"/>
  <c r="L59" i="3"/>
  <c r="M59" i="3"/>
  <c r="N59" i="3"/>
  <c r="O59" i="3"/>
  <c r="P59" i="3"/>
  <c r="L60" i="3"/>
  <c r="M60" i="3"/>
  <c r="N60" i="3"/>
  <c r="O60" i="3"/>
  <c r="P60" i="3"/>
  <c r="L61" i="3"/>
  <c r="M61" i="3"/>
  <c r="N61" i="3"/>
  <c r="O61" i="3"/>
  <c r="P61" i="3"/>
  <c r="L62" i="3"/>
  <c r="M62" i="3"/>
  <c r="N62" i="3"/>
  <c r="O62" i="3"/>
  <c r="P62" i="3"/>
  <c r="L63" i="3"/>
  <c r="M63" i="3"/>
  <c r="N63" i="3"/>
  <c r="O63" i="3"/>
  <c r="P63" i="3"/>
  <c r="L64" i="3"/>
  <c r="M64" i="3"/>
  <c r="N64" i="3"/>
  <c r="O64" i="3"/>
  <c r="P64" i="3"/>
  <c r="L65" i="3"/>
  <c r="M65" i="3"/>
  <c r="N65" i="3"/>
  <c r="O65" i="3"/>
  <c r="P65" i="3"/>
  <c r="L66" i="3"/>
  <c r="M66" i="3"/>
  <c r="N66" i="3"/>
  <c r="O66" i="3"/>
  <c r="P66" i="3"/>
  <c r="L67" i="3"/>
  <c r="M67" i="3"/>
  <c r="N67" i="3"/>
  <c r="O67" i="3"/>
  <c r="P67" i="3"/>
  <c r="L68" i="3"/>
  <c r="M68" i="3"/>
  <c r="N68" i="3"/>
  <c r="O68" i="3"/>
  <c r="P68" i="3"/>
  <c r="L69" i="3"/>
  <c r="M69" i="3"/>
  <c r="N69" i="3"/>
  <c r="O69" i="3"/>
  <c r="P69" i="3"/>
  <c r="L70" i="3"/>
  <c r="M70" i="3"/>
  <c r="N70" i="3"/>
  <c r="O70" i="3"/>
  <c r="P70" i="3"/>
  <c r="L71" i="3"/>
  <c r="M71" i="3"/>
  <c r="N71" i="3"/>
  <c r="O71" i="3"/>
  <c r="P71" i="3"/>
  <c r="L72" i="3"/>
  <c r="M72" i="3"/>
  <c r="N72" i="3"/>
  <c r="O72" i="3"/>
  <c r="P72" i="3"/>
  <c r="L73" i="3"/>
  <c r="M73" i="3"/>
  <c r="N73" i="3"/>
  <c r="O73" i="3"/>
  <c r="P73" i="3"/>
  <c r="L74" i="3"/>
  <c r="M74" i="3"/>
  <c r="N74" i="3"/>
  <c r="O74" i="3"/>
  <c r="P74" i="3"/>
  <c r="L75" i="3"/>
  <c r="M75" i="3"/>
  <c r="N75" i="3"/>
  <c r="O75" i="3"/>
  <c r="P75" i="3"/>
  <c r="L76" i="3"/>
  <c r="M76" i="3"/>
  <c r="N76" i="3"/>
  <c r="O76" i="3"/>
  <c r="P76" i="3"/>
  <c r="L77" i="3"/>
  <c r="M77" i="3"/>
  <c r="N77" i="3"/>
  <c r="O77" i="3"/>
  <c r="P77" i="3"/>
  <c r="L78" i="3"/>
  <c r="M78" i="3"/>
  <c r="N78" i="3"/>
  <c r="O78" i="3"/>
  <c r="P78" i="3"/>
  <c r="L79" i="3"/>
  <c r="M79" i="3"/>
  <c r="N79" i="3"/>
  <c r="O79" i="3"/>
  <c r="P79" i="3"/>
  <c r="L80" i="3"/>
  <c r="M80" i="3"/>
  <c r="N80" i="3"/>
  <c r="O80" i="3"/>
  <c r="P80" i="3"/>
  <c r="L81" i="3"/>
  <c r="M81" i="3"/>
  <c r="N81" i="3"/>
  <c r="O81" i="3"/>
  <c r="P81" i="3"/>
  <c r="L82" i="3"/>
  <c r="M82" i="3"/>
  <c r="N82" i="3"/>
  <c r="O82" i="3"/>
  <c r="P82" i="3"/>
  <c r="L83" i="3"/>
  <c r="M83" i="3"/>
  <c r="N83" i="3"/>
  <c r="O83" i="3"/>
  <c r="P83" i="3"/>
  <c r="L84" i="3"/>
  <c r="M84" i="3"/>
  <c r="N84" i="3"/>
  <c r="O84" i="3"/>
  <c r="P84" i="3"/>
  <c r="L85" i="3"/>
  <c r="M85" i="3"/>
  <c r="N85" i="3"/>
  <c r="O85" i="3"/>
  <c r="P85" i="3"/>
  <c r="L86" i="3"/>
  <c r="M86" i="3"/>
  <c r="N86" i="3"/>
  <c r="O86" i="3"/>
  <c r="P86" i="3"/>
  <c r="L87" i="3"/>
  <c r="M87" i="3"/>
  <c r="N87" i="3"/>
  <c r="O87" i="3"/>
  <c r="P87" i="3"/>
  <c r="L88" i="3"/>
  <c r="M88" i="3"/>
  <c r="N88" i="3"/>
  <c r="O88" i="3"/>
  <c r="P88" i="3"/>
  <c r="L89" i="3"/>
  <c r="M89" i="3"/>
  <c r="N89" i="3"/>
  <c r="O89" i="3"/>
  <c r="P89" i="3"/>
  <c r="L90" i="3"/>
  <c r="M90" i="3"/>
  <c r="N90" i="3"/>
  <c r="O90" i="3"/>
  <c r="P90" i="3"/>
  <c r="L91" i="3"/>
  <c r="M91" i="3"/>
  <c r="N91" i="3"/>
  <c r="O91" i="3"/>
  <c r="P91" i="3"/>
  <c r="L92" i="3"/>
  <c r="M92" i="3"/>
  <c r="N92" i="3"/>
  <c r="O92" i="3"/>
  <c r="P92" i="3"/>
  <c r="L93" i="3"/>
  <c r="M93" i="3"/>
  <c r="N93" i="3"/>
  <c r="O93" i="3"/>
  <c r="P93" i="3"/>
  <c r="L94" i="3"/>
  <c r="M94" i="3"/>
  <c r="N94" i="3"/>
  <c r="O94" i="3"/>
  <c r="P94" i="3"/>
  <c r="L95" i="3"/>
  <c r="M95" i="3"/>
  <c r="N95" i="3"/>
  <c r="O95" i="3"/>
  <c r="P95" i="3"/>
  <c r="L96" i="3"/>
  <c r="M96" i="3"/>
  <c r="N96" i="3"/>
  <c r="O96" i="3"/>
  <c r="P96" i="3"/>
  <c r="L97" i="3"/>
  <c r="M97" i="3"/>
  <c r="N97" i="3"/>
  <c r="O97" i="3"/>
  <c r="P97" i="3"/>
  <c r="L98" i="3"/>
  <c r="M98" i="3"/>
  <c r="N98" i="3"/>
  <c r="O98" i="3"/>
  <c r="P98" i="3"/>
  <c r="L99" i="3"/>
  <c r="M99" i="3"/>
  <c r="N99" i="3"/>
  <c r="O99" i="3"/>
  <c r="P99" i="3"/>
  <c r="L100" i="3"/>
  <c r="M100" i="3"/>
  <c r="N100" i="3"/>
  <c r="O100" i="3"/>
  <c r="P100" i="3"/>
  <c r="L101" i="3"/>
  <c r="M101" i="3"/>
  <c r="N101" i="3"/>
  <c r="O101" i="3"/>
  <c r="P101" i="3"/>
  <c r="L102" i="3"/>
  <c r="M102" i="3"/>
  <c r="N102" i="3"/>
  <c r="O102" i="3"/>
  <c r="P102" i="3"/>
  <c r="L103" i="3"/>
  <c r="M103" i="3"/>
  <c r="N103" i="3"/>
  <c r="O103" i="3"/>
  <c r="P103" i="3"/>
  <c r="L104" i="3"/>
  <c r="M104" i="3"/>
  <c r="N104" i="3"/>
  <c r="O104" i="3"/>
  <c r="P104" i="3"/>
  <c r="L105" i="3"/>
  <c r="M105" i="3"/>
  <c r="N105" i="3"/>
  <c r="O105" i="3"/>
  <c r="P105" i="3"/>
  <c r="L106" i="3"/>
  <c r="M106" i="3"/>
  <c r="N106" i="3"/>
  <c r="O106" i="3"/>
  <c r="P106" i="3"/>
  <c r="L107" i="3"/>
  <c r="M107" i="3"/>
  <c r="N107" i="3"/>
  <c r="O107" i="3"/>
  <c r="P107" i="3"/>
  <c r="L108" i="3"/>
  <c r="M108" i="3"/>
  <c r="N108" i="3"/>
  <c r="O108" i="3"/>
  <c r="P108" i="3"/>
  <c r="L109" i="3"/>
  <c r="M109" i="3"/>
  <c r="N109" i="3"/>
  <c r="O109" i="3"/>
  <c r="P109" i="3"/>
  <c r="L110" i="3"/>
  <c r="M110" i="3"/>
  <c r="N110" i="3"/>
  <c r="O110" i="3"/>
  <c r="P110" i="3"/>
  <c r="L111" i="3"/>
  <c r="M111" i="3"/>
  <c r="N111" i="3"/>
  <c r="O111" i="3"/>
  <c r="P111" i="3"/>
  <c r="L112" i="3"/>
  <c r="M112" i="3"/>
  <c r="N112" i="3"/>
  <c r="O112" i="3"/>
  <c r="P112" i="3"/>
  <c r="L113" i="3"/>
  <c r="M113" i="3"/>
  <c r="N113" i="3"/>
  <c r="O113" i="3"/>
  <c r="P113" i="3"/>
  <c r="L114" i="3"/>
  <c r="M114" i="3"/>
  <c r="N114" i="3"/>
  <c r="O114" i="3"/>
  <c r="P114" i="3"/>
  <c r="L115" i="3"/>
  <c r="M115" i="3"/>
  <c r="N115" i="3"/>
  <c r="O115" i="3"/>
  <c r="P115" i="3"/>
  <c r="L116" i="3"/>
  <c r="M116" i="3"/>
  <c r="N116" i="3"/>
  <c r="O116" i="3"/>
  <c r="P116" i="3"/>
  <c r="L117" i="3"/>
  <c r="M117" i="3"/>
  <c r="N117" i="3"/>
  <c r="O117" i="3"/>
  <c r="P117" i="3"/>
  <c r="L118" i="3"/>
  <c r="M118" i="3"/>
  <c r="N118" i="3"/>
  <c r="O118" i="3"/>
  <c r="P118" i="3"/>
  <c r="L119" i="3"/>
  <c r="M119" i="3"/>
  <c r="N119" i="3"/>
  <c r="O119" i="3"/>
  <c r="P119" i="3"/>
  <c r="L120" i="3"/>
  <c r="M120" i="3"/>
  <c r="N120" i="3"/>
  <c r="O120" i="3"/>
  <c r="P120" i="3"/>
  <c r="L121" i="3"/>
  <c r="M121" i="3"/>
  <c r="N121" i="3"/>
  <c r="O121" i="3"/>
  <c r="P121" i="3"/>
  <c r="L122" i="3"/>
  <c r="M122" i="3"/>
  <c r="N122" i="3"/>
  <c r="O122" i="3"/>
  <c r="P122" i="3"/>
  <c r="L123" i="3"/>
  <c r="M123" i="3"/>
  <c r="N123" i="3"/>
  <c r="O123" i="3"/>
  <c r="P123" i="3"/>
  <c r="L124" i="3"/>
  <c r="M124" i="3"/>
  <c r="N124" i="3"/>
  <c r="O124" i="3"/>
  <c r="P124" i="3"/>
  <c r="L125" i="3"/>
  <c r="M125" i="3"/>
  <c r="N125" i="3"/>
  <c r="O125" i="3"/>
  <c r="P125" i="3"/>
  <c r="L126" i="3"/>
  <c r="M126" i="3"/>
  <c r="N126" i="3"/>
  <c r="O126" i="3"/>
  <c r="P126" i="3"/>
  <c r="L127" i="3"/>
  <c r="M127" i="3"/>
  <c r="N127" i="3"/>
  <c r="O127" i="3"/>
  <c r="P127" i="3"/>
  <c r="L128" i="3"/>
  <c r="M128" i="3"/>
  <c r="N128" i="3"/>
  <c r="O128" i="3"/>
  <c r="P128" i="3"/>
  <c r="L129" i="3"/>
  <c r="M129" i="3"/>
  <c r="N129" i="3"/>
  <c r="O129" i="3"/>
  <c r="P129" i="3"/>
  <c r="L130" i="3"/>
  <c r="M130" i="3"/>
  <c r="N130" i="3"/>
  <c r="O130" i="3"/>
  <c r="P130" i="3"/>
  <c r="L131" i="3"/>
  <c r="M131" i="3"/>
  <c r="N131" i="3"/>
  <c r="O131" i="3"/>
  <c r="P131" i="3"/>
  <c r="L132" i="3"/>
  <c r="M132" i="3"/>
  <c r="N132" i="3"/>
  <c r="O132" i="3"/>
  <c r="P132" i="3"/>
  <c r="L133" i="3"/>
  <c r="M133" i="3"/>
  <c r="N133" i="3"/>
  <c r="O133" i="3"/>
  <c r="P133" i="3"/>
  <c r="L134" i="3"/>
  <c r="M134" i="3"/>
  <c r="N134" i="3"/>
  <c r="O134" i="3"/>
  <c r="P134" i="3"/>
  <c r="L135" i="3"/>
  <c r="M135" i="3"/>
  <c r="N135" i="3"/>
  <c r="O135" i="3"/>
  <c r="P135" i="3"/>
  <c r="L136" i="3"/>
  <c r="M136" i="3"/>
  <c r="N136" i="3"/>
  <c r="O136" i="3"/>
  <c r="P136" i="3"/>
  <c r="L137" i="3"/>
  <c r="M137" i="3"/>
  <c r="N137" i="3"/>
  <c r="O137" i="3"/>
  <c r="P137" i="3"/>
  <c r="L138" i="3"/>
  <c r="M138" i="3"/>
  <c r="N138" i="3"/>
  <c r="O138" i="3"/>
  <c r="P138" i="3"/>
  <c r="L139" i="3"/>
  <c r="M139" i="3"/>
  <c r="N139" i="3"/>
  <c r="O139" i="3"/>
  <c r="P139" i="3"/>
  <c r="L140" i="3"/>
  <c r="M140" i="3"/>
  <c r="N140" i="3"/>
  <c r="O140" i="3"/>
  <c r="P140" i="3"/>
  <c r="L141" i="3"/>
  <c r="M141" i="3"/>
  <c r="N141" i="3"/>
  <c r="O141" i="3"/>
  <c r="P141" i="3"/>
  <c r="L142" i="3"/>
  <c r="M142" i="3"/>
  <c r="N142" i="3"/>
  <c r="O142" i="3"/>
  <c r="P142" i="3"/>
  <c r="L143" i="3"/>
  <c r="M143" i="3"/>
  <c r="N143" i="3"/>
  <c r="O143" i="3"/>
  <c r="P143" i="3"/>
  <c r="L144" i="3"/>
  <c r="M144" i="3"/>
  <c r="N144" i="3"/>
  <c r="O144" i="3"/>
  <c r="P144" i="3"/>
  <c r="L145" i="3"/>
  <c r="M145" i="3"/>
  <c r="N145" i="3"/>
  <c r="O145" i="3"/>
  <c r="P145" i="3"/>
  <c r="L146" i="3"/>
  <c r="M146" i="3"/>
  <c r="N146" i="3"/>
  <c r="O146" i="3"/>
  <c r="P146" i="3"/>
  <c r="L147" i="3"/>
  <c r="M147" i="3"/>
  <c r="N147" i="3"/>
  <c r="O147" i="3"/>
  <c r="P147" i="3"/>
  <c r="L148" i="3"/>
  <c r="M148" i="3"/>
  <c r="N148" i="3"/>
  <c r="O148" i="3"/>
  <c r="P148" i="3"/>
  <c r="L149" i="3"/>
  <c r="M149" i="3"/>
  <c r="N149" i="3"/>
  <c r="O149" i="3"/>
  <c r="P149" i="3"/>
  <c r="L150" i="3"/>
  <c r="M150" i="3"/>
  <c r="N150" i="3"/>
  <c r="O150" i="3"/>
  <c r="P150" i="3"/>
  <c r="L151" i="3"/>
  <c r="M151" i="3"/>
  <c r="N151" i="3"/>
  <c r="O151" i="3"/>
  <c r="P151" i="3"/>
  <c r="L152" i="3"/>
  <c r="M152" i="3"/>
  <c r="N152" i="3"/>
  <c r="O152" i="3"/>
  <c r="P152" i="3"/>
  <c r="L153" i="3"/>
  <c r="M153" i="3"/>
  <c r="N153" i="3"/>
  <c r="O153" i="3"/>
  <c r="P153" i="3"/>
  <c r="L154" i="3"/>
  <c r="M154" i="3"/>
  <c r="N154" i="3"/>
  <c r="O154" i="3"/>
  <c r="P154" i="3"/>
  <c r="L155" i="3"/>
  <c r="M155" i="3"/>
  <c r="N155" i="3"/>
  <c r="O155" i="3"/>
  <c r="P155" i="3"/>
  <c r="L156" i="3"/>
  <c r="M156" i="3"/>
  <c r="N156" i="3"/>
  <c r="O156" i="3"/>
  <c r="P156" i="3"/>
  <c r="L157" i="3"/>
  <c r="M157" i="3"/>
  <c r="N157" i="3"/>
  <c r="O157" i="3"/>
  <c r="P157" i="3"/>
  <c r="L158" i="3"/>
  <c r="M158" i="3"/>
  <c r="N158" i="3"/>
  <c r="O158" i="3"/>
  <c r="P158" i="3"/>
  <c r="L159" i="3"/>
  <c r="M159" i="3"/>
  <c r="N159" i="3"/>
  <c r="O159" i="3"/>
  <c r="P159" i="3"/>
  <c r="L160" i="3"/>
  <c r="M160" i="3"/>
  <c r="N160" i="3"/>
  <c r="O160" i="3"/>
  <c r="P160" i="3"/>
  <c r="L161" i="3"/>
  <c r="M161" i="3"/>
  <c r="N161" i="3"/>
  <c r="O161" i="3"/>
  <c r="P161" i="3"/>
  <c r="L162" i="3"/>
  <c r="M162" i="3"/>
  <c r="N162" i="3"/>
  <c r="O162" i="3"/>
  <c r="P162" i="3"/>
  <c r="L163" i="3"/>
  <c r="M163" i="3"/>
  <c r="N163" i="3"/>
  <c r="O163" i="3"/>
  <c r="P163" i="3"/>
  <c r="L164" i="3"/>
  <c r="M164" i="3"/>
  <c r="N164" i="3"/>
  <c r="O164" i="3"/>
  <c r="P164" i="3"/>
  <c r="L165" i="3"/>
  <c r="M165" i="3"/>
  <c r="N165" i="3"/>
  <c r="O165" i="3"/>
  <c r="P165" i="3"/>
  <c r="L166" i="3"/>
  <c r="M166" i="3"/>
  <c r="N166" i="3"/>
  <c r="O166" i="3"/>
  <c r="P166" i="3"/>
  <c r="L167" i="3"/>
  <c r="M167" i="3"/>
  <c r="N167" i="3"/>
  <c r="O167" i="3"/>
  <c r="P167" i="3"/>
  <c r="L168" i="3"/>
  <c r="M168" i="3"/>
  <c r="N168" i="3"/>
  <c r="O168" i="3"/>
  <c r="P168" i="3"/>
  <c r="L169" i="3"/>
  <c r="M169" i="3"/>
  <c r="N169" i="3"/>
  <c r="O169" i="3"/>
  <c r="P169" i="3"/>
  <c r="L170" i="3"/>
  <c r="M170" i="3"/>
  <c r="N170" i="3"/>
  <c r="O170" i="3"/>
  <c r="P170" i="3"/>
  <c r="L171" i="3"/>
  <c r="M171" i="3"/>
  <c r="N171" i="3"/>
  <c r="O171" i="3"/>
  <c r="P171" i="3"/>
  <c r="L172" i="3"/>
  <c r="M172" i="3"/>
  <c r="N172" i="3"/>
  <c r="O172" i="3"/>
  <c r="P172" i="3"/>
  <c r="L173" i="3"/>
  <c r="M173" i="3"/>
  <c r="N173" i="3"/>
  <c r="O173" i="3"/>
  <c r="P173" i="3"/>
  <c r="L174" i="3"/>
  <c r="M174" i="3"/>
  <c r="N174" i="3"/>
  <c r="O174" i="3"/>
  <c r="P174" i="3"/>
  <c r="L175" i="3"/>
  <c r="M175" i="3"/>
  <c r="N175" i="3"/>
  <c r="O175" i="3"/>
  <c r="P175" i="3"/>
  <c r="L176" i="3"/>
  <c r="M176" i="3"/>
  <c r="N176" i="3"/>
  <c r="O176" i="3"/>
  <c r="P176" i="3"/>
  <c r="L177" i="3"/>
  <c r="M177" i="3"/>
  <c r="N177" i="3"/>
  <c r="O177" i="3"/>
  <c r="P177" i="3"/>
  <c r="L178" i="3"/>
  <c r="M178" i="3"/>
  <c r="N178" i="3"/>
  <c r="O178" i="3"/>
  <c r="P178" i="3"/>
  <c r="L179" i="3"/>
  <c r="M179" i="3"/>
  <c r="N179" i="3"/>
  <c r="O179" i="3"/>
  <c r="P179" i="3"/>
  <c r="L180" i="3"/>
  <c r="M180" i="3"/>
  <c r="N180" i="3"/>
  <c r="O180" i="3"/>
  <c r="P180" i="3"/>
  <c r="L181" i="3"/>
  <c r="M181" i="3"/>
  <c r="N181" i="3"/>
  <c r="O181" i="3"/>
  <c r="P181" i="3"/>
  <c r="L182" i="3"/>
  <c r="M182" i="3"/>
  <c r="N182" i="3"/>
  <c r="O182" i="3"/>
  <c r="P182" i="3"/>
  <c r="L183" i="3"/>
  <c r="M183" i="3"/>
  <c r="N183" i="3"/>
  <c r="O183" i="3"/>
  <c r="P183" i="3"/>
  <c r="L184" i="3"/>
  <c r="M184" i="3"/>
  <c r="N184" i="3"/>
  <c r="O184" i="3"/>
  <c r="P184" i="3"/>
  <c r="L185" i="3"/>
  <c r="M185" i="3"/>
  <c r="N185" i="3"/>
  <c r="O185" i="3"/>
  <c r="P185" i="3"/>
  <c r="L186" i="3"/>
  <c r="M186" i="3"/>
  <c r="N186" i="3"/>
  <c r="O186" i="3"/>
  <c r="P186" i="3"/>
  <c r="L187" i="3"/>
  <c r="M187" i="3"/>
  <c r="N187" i="3"/>
  <c r="O187" i="3"/>
  <c r="P187" i="3"/>
  <c r="L188" i="3"/>
  <c r="M188" i="3"/>
  <c r="N188" i="3"/>
  <c r="O188" i="3"/>
  <c r="P188" i="3"/>
  <c r="L189" i="3"/>
  <c r="M189" i="3"/>
  <c r="N189" i="3"/>
  <c r="O189" i="3"/>
  <c r="P189" i="3"/>
  <c r="L190" i="3"/>
  <c r="M190" i="3"/>
  <c r="N190" i="3"/>
  <c r="O190" i="3"/>
  <c r="P190" i="3"/>
  <c r="L191" i="3"/>
  <c r="M191" i="3"/>
  <c r="N191" i="3"/>
  <c r="O191" i="3"/>
  <c r="P191" i="3"/>
  <c r="L192" i="3"/>
  <c r="M192" i="3"/>
  <c r="N192" i="3"/>
  <c r="O192" i="3"/>
  <c r="P192" i="3"/>
  <c r="L193" i="3"/>
  <c r="M193" i="3"/>
  <c r="N193" i="3"/>
  <c r="O193" i="3"/>
  <c r="P193" i="3"/>
  <c r="L194" i="3"/>
  <c r="M194" i="3"/>
  <c r="N194" i="3"/>
  <c r="O194" i="3"/>
  <c r="P194" i="3"/>
  <c r="L195" i="3"/>
  <c r="M195" i="3"/>
  <c r="N195" i="3"/>
  <c r="O195" i="3"/>
  <c r="P195" i="3"/>
  <c r="L196" i="3"/>
  <c r="M196" i="3"/>
  <c r="N196" i="3"/>
  <c r="O196" i="3"/>
  <c r="P196" i="3"/>
  <c r="L197" i="3"/>
  <c r="M197" i="3"/>
  <c r="N197" i="3"/>
  <c r="O197" i="3"/>
  <c r="P197" i="3"/>
  <c r="L198" i="3"/>
  <c r="M198" i="3"/>
  <c r="N198" i="3"/>
  <c r="O198" i="3"/>
  <c r="P198" i="3"/>
  <c r="L199" i="3"/>
  <c r="M199" i="3"/>
  <c r="N199" i="3"/>
  <c r="O199" i="3"/>
  <c r="P199" i="3"/>
  <c r="L200" i="3"/>
  <c r="M200" i="3"/>
  <c r="N200" i="3"/>
  <c r="O200" i="3"/>
  <c r="P200" i="3"/>
  <c r="L201" i="3"/>
  <c r="M201" i="3"/>
  <c r="N201" i="3"/>
  <c r="O201" i="3"/>
  <c r="P201" i="3"/>
  <c r="L202" i="3"/>
  <c r="M202" i="3"/>
  <c r="N202" i="3"/>
  <c r="O202" i="3"/>
  <c r="P202" i="3"/>
  <c r="L203" i="3"/>
  <c r="M203" i="3"/>
  <c r="N203" i="3"/>
  <c r="O203" i="3"/>
  <c r="P203" i="3"/>
  <c r="L204" i="3"/>
  <c r="M204" i="3"/>
  <c r="N204" i="3"/>
  <c r="O204" i="3"/>
  <c r="P204" i="3"/>
  <c r="L205" i="3"/>
  <c r="M205" i="3"/>
  <c r="N205" i="3"/>
  <c r="O205" i="3"/>
  <c r="P205" i="3"/>
  <c r="L206" i="3"/>
  <c r="M206" i="3"/>
  <c r="N206" i="3"/>
  <c r="O206" i="3"/>
  <c r="P206" i="3"/>
  <c r="L207" i="3"/>
  <c r="M207" i="3"/>
  <c r="N207" i="3"/>
  <c r="O207" i="3"/>
  <c r="P207" i="3"/>
  <c r="L208" i="3"/>
  <c r="M208" i="3"/>
  <c r="N208" i="3"/>
  <c r="O208" i="3"/>
  <c r="P208" i="3"/>
  <c r="L209" i="3"/>
  <c r="M209" i="3"/>
  <c r="N209" i="3"/>
  <c r="O209" i="3"/>
  <c r="P209" i="3"/>
  <c r="L210" i="3"/>
  <c r="M210" i="3"/>
  <c r="N210" i="3"/>
  <c r="O210" i="3"/>
  <c r="P210" i="3"/>
  <c r="L211" i="3"/>
  <c r="M211" i="3"/>
  <c r="N211" i="3"/>
  <c r="O211" i="3"/>
  <c r="P211" i="3"/>
  <c r="L212" i="3"/>
  <c r="M212" i="3"/>
  <c r="N212" i="3"/>
  <c r="O212" i="3"/>
  <c r="P212" i="3"/>
  <c r="L213" i="3"/>
  <c r="M213" i="3"/>
  <c r="N213" i="3"/>
  <c r="O213" i="3"/>
  <c r="P213" i="3"/>
  <c r="L214" i="3"/>
  <c r="M214" i="3"/>
  <c r="N214" i="3"/>
  <c r="O214" i="3"/>
  <c r="P214" i="3"/>
  <c r="L215" i="3"/>
  <c r="M215" i="3"/>
  <c r="N215" i="3"/>
  <c r="O215" i="3"/>
  <c r="P215" i="3"/>
  <c r="L216" i="3"/>
  <c r="M216" i="3"/>
  <c r="N216" i="3"/>
  <c r="O216" i="3"/>
  <c r="P216" i="3"/>
  <c r="L217" i="3"/>
  <c r="M217" i="3"/>
  <c r="N217" i="3"/>
  <c r="O217" i="3"/>
  <c r="P217" i="3"/>
  <c r="L218" i="3"/>
  <c r="M218" i="3"/>
  <c r="N218" i="3"/>
  <c r="O218" i="3"/>
  <c r="P218" i="3"/>
  <c r="L219" i="3"/>
  <c r="M219" i="3"/>
  <c r="N219" i="3"/>
  <c r="O219" i="3"/>
  <c r="P219" i="3"/>
  <c r="L220" i="3"/>
  <c r="M220" i="3"/>
  <c r="N220" i="3"/>
  <c r="O220" i="3"/>
  <c r="P220" i="3"/>
  <c r="L221" i="3"/>
  <c r="M221" i="3"/>
  <c r="N221" i="3"/>
  <c r="O221" i="3"/>
  <c r="P221" i="3"/>
  <c r="L222" i="3"/>
  <c r="M222" i="3"/>
  <c r="N222" i="3"/>
  <c r="O222" i="3"/>
  <c r="P222" i="3"/>
  <c r="L223" i="3"/>
  <c r="M223" i="3"/>
  <c r="N223" i="3"/>
  <c r="O223" i="3"/>
  <c r="P223" i="3"/>
  <c r="L224" i="3"/>
  <c r="M224" i="3"/>
  <c r="N224" i="3"/>
  <c r="O224" i="3"/>
  <c r="P224" i="3"/>
  <c r="L225" i="3"/>
  <c r="M225" i="3"/>
  <c r="N225" i="3"/>
  <c r="O225" i="3"/>
  <c r="P225" i="3"/>
  <c r="L226" i="3"/>
  <c r="M226" i="3"/>
  <c r="N226" i="3"/>
  <c r="O226" i="3"/>
  <c r="P226" i="3"/>
  <c r="L227" i="3"/>
  <c r="M227" i="3"/>
  <c r="N227" i="3"/>
  <c r="O227" i="3"/>
  <c r="P227" i="3"/>
  <c r="L228" i="3"/>
  <c r="M228" i="3"/>
  <c r="N228" i="3"/>
  <c r="O228" i="3"/>
  <c r="P228" i="3"/>
  <c r="L229" i="3"/>
  <c r="M229" i="3"/>
  <c r="N229" i="3"/>
  <c r="O229" i="3"/>
  <c r="P229" i="3"/>
  <c r="L230" i="3"/>
  <c r="M230" i="3"/>
  <c r="N230" i="3"/>
  <c r="O230" i="3"/>
  <c r="P230" i="3"/>
  <c r="L231" i="3"/>
  <c r="M231" i="3"/>
  <c r="N231" i="3"/>
  <c r="O231" i="3"/>
  <c r="P231" i="3"/>
  <c r="L232" i="3"/>
  <c r="M232" i="3"/>
  <c r="N232" i="3"/>
  <c r="O232" i="3"/>
  <c r="P232" i="3"/>
  <c r="L233" i="3"/>
  <c r="M233" i="3"/>
  <c r="N233" i="3"/>
  <c r="O233" i="3"/>
  <c r="P233" i="3"/>
  <c r="L234" i="3"/>
  <c r="M234" i="3"/>
  <c r="N234" i="3"/>
  <c r="O234" i="3"/>
  <c r="P234" i="3"/>
  <c r="L235" i="3"/>
  <c r="M235" i="3"/>
  <c r="N235" i="3"/>
  <c r="O235" i="3"/>
  <c r="P235" i="3"/>
  <c r="L236" i="3"/>
  <c r="M236" i="3"/>
  <c r="N236" i="3"/>
  <c r="O236" i="3"/>
  <c r="P236" i="3"/>
  <c r="L237" i="3"/>
  <c r="M237" i="3"/>
  <c r="N237" i="3"/>
  <c r="O237" i="3"/>
  <c r="P237" i="3"/>
  <c r="L238" i="3"/>
  <c r="M238" i="3"/>
  <c r="N238" i="3"/>
  <c r="O238" i="3"/>
  <c r="P238" i="3"/>
  <c r="L239" i="3"/>
  <c r="M239" i="3"/>
  <c r="N239" i="3"/>
  <c r="O239" i="3"/>
  <c r="P239" i="3"/>
  <c r="L240" i="3"/>
  <c r="M240" i="3"/>
  <c r="N240" i="3"/>
  <c r="O240" i="3"/>
  <c r="P240" i="3"/>
  <c r="L241" i="3"/>
  <c r="M241" i="3"/>
  <c r="N241" i="3"/>
  <c r="O241" i="3"/>
  <c r="P241" i="3"/>
  <c r="L242" i="3"/>
  <c r="M242" i="3"/>
  <c r="N242" i="3"/>
  <c r="O242" i="3"/>
  <c r="P242" i="3"/>
  <c r="L243" i="3"/>
  <c r="M243" i="3"/>
  <c r="N243" i="3"/>
  <c r="O243" i="3"/>
  <c r="P243" i="3"/>
  <c r="L244" i="3"/>
  <c r="M244" i="3"/>
  <c r="N244" i="3"/>
  <c r="O244" i="3"/>
  <c r="P244" i="3"/>
  <c r="L245" i="3"/>
  <c r="M245" i="3"/>
  <c r="N245" i="3"/>
  <c r="O245" i="3"/>
  <c r="P245" i="3"/>
  <c r="L246" i="3"/>
  <c r="M246" i="3"/>
  <c r="N246" i="3"/>
  <c r="O246" i="3"/>
  <c r="P246" i="3"/>
  <c r="L247" i="3"/>
  <c r="M247" i="3"/>
  <c r="N247" i="3"/>
  <c r="O247" i="3"/>
  <c r="P247" i="3"/>
  <c r="L248" i="3"/>
  <c r="M248" i="3"/>
  <c r="N248" i="3"/>
  <c r="O248" i="3"/>
  <c r="P248" i="3"/>
  <c r="L249" i="3"/>
  <c r="M249" i="3"/>
  <c r="N249" i="3"/>
  <c r="O249" i="3"/>
  <c r="P249" i="3"/>
  <c r="L250" i="3"/>
  <c r="M250" i="3"/>
  <c r="N250" i="3"/>
  <c r="O250" i="3"/>
  <c r="P250" i="3"/>
  <c r="L251" i="3"/>
  <c r="M251" i="3"/>
  <c r="N251" i="3"/>
  <c r="O251" i="3"/>
  <c r="P251" i="3"/>
  <c r="L252" i="3"/>
  <c r="M252" i="3"/>
  <c r="N252" i="3"/>
  <c r="O252" i="3"/>
  <c r="P252" i="3"/>
  <c r="L253" i="3"/>
  <c r="M253" i="3"/>
  <c r="N253" i="3"/>
  <c r="O253" i="3"/>
  <c r="P253" i="3"/>
  <c r="L254" i="3"/>
  <c r="M254" i="3"/>
  <c r="N254" i="3"/>
  <c r="O254" i="3"/>
  <c r="P254" i="3"/>
  <c r="L255" i="3"/>
  <c r="M255" i="3"/>
  <c r="N255" i="3"/>
  <c r="O255" i="3"/>
  <c r="P255" i="3"/>
  <c r="L256" i="3"/>
  <c r="M256" i="3"/>
  <c r="N256" i="3"/>
  <c r="O256" i="3"/>
  <c r="P256" i="3"/>
  <c r="L257" i="3"/>
  <c r="M257" i="3"/>
  <c r="N257" i="3"/>
  <c r="O257" i="3"/>
  <c r="P257" i="3"/>
  <c r="L258" i="3"/>
  <c r="M258" i="3"/>
  <c r="N258" i="3"/>
  <c r="O258" i="3"/>
  <c r="P258" i="3"/>
  <c r="L259" i="3"/>
  <c r="M259" i="3"/>
  <c r="N259" i="3"/>
  <c r="O259" i="3"/>
  <c r="P259" i="3"/>
  <c r="L260" i="3"/>
  <c r="M260" i="3"/>
  <c r="N260" i="3"/>
  <c r="O260" i="3"/>
  <c r="P260" i="3"/>
  <c r="L261" i="3"/>
  <c r="M261" i="3"/>
  <c r="N261" i="3"/>
  <c r="O261" i="3"/>
  <c r="P261" i="3"/>
  <c r="L262" i="3"/>
  <c r="M262" i="3"/>
  <c r="N262" i="3"/>
  <c r="O262" i="3"/>
  <c r="P262" i="3"/>
  <c r="L263" i="3"/>
  <c r="M263" i="3"/>
  <c r="N263" i="3"/>
  <c r="O263" i="3"/>
  <c r="P263" i="3"/>
  <c r="L264" i="3"/>
  <c r="M264" i="3"/>
  <c r="N264" i="3"/>
  <c r="O264" i="3"/>
  <c r="P264" i="3"/>
  <c r="L265" i="3"/>
  <c r="M265" i="3"/>
  <c r="N265" i="3"/>
  <c r="O265" i="3"/>
  <c r="P265" i="3"/>
  <c r="L266" i="3"/>
  <c r="M266" i="3"/>
  <c r="N266" i="3"/>
  <c r="O266" i="3"/>
  <c r="P266" i="3"/>
  <c r="L267" i="3"/>
  <c r="M267" i="3"/>
  <c r="N267" i="3"/>
  <c r="O267" i="3"/>
  <c r="P267" i="3"/>
  <c r="L268" i="3"/>
  <c r="M268" i="3"/>
  <c r="N268" i="3"/>
  <c r="O268" i="3"/>
  <c r="P268" i="3"/>
  <c r="L269" i="3"/>
  <c r="M269" i="3"/>
  <c r="N269" i="3"/>
  <c r="O269" i="3"/>
  <c r="P269" i="3"/>
  <c r="L270" i="3"/>
  <c r="M270" i="3"/>
  <c r="N270" i="3"/>
  <c r="O270" i="3"/>
  <c r="P270" i="3"/>
  <c r="L271" i="3"/>
  <c r="M271" i="3"/>
  <c r="N271" i="3"/>
  <c r="O271" i="3"/>
  <c r="P271" i="3"/>
  <c r="L272" i="3"/>
  <c r="M272" i="3"/>
  <c r="N272" i="3"/>
  <c r="O272" i="3"/>
  <c r="P272" i="3"/>
  <c r="L273" i="3"/>
  <c r="M273" i="3"/>
  <c r="N273" i="3"/>
  <c r="O273" i="3"/>
  <c r="P273" i="3"/>
  <c r="L274" i="3"/>
  <c r="M274" i="3"/>
  <c r="N274" i="3"/>
  <c r="O274" i="3"/>
  <c r="P274" i="3"/>
  <c r="L275" i="3"/>
  <c r="M275" i="3"/>
  <c r="N275" i="3"/>
  <c r="O275" i="3"/>
  <c r="P275" i="3"/>
  <c r="L276" i="3"/>
  <c r="M276" i="3"/>
  <c r="N276" i="3"/>
  <c r="O276" i="3"/>
  <c r="P276" i="3"/>
  <c r="L277" i="3"/>
  <c r="M277" i="3"/>
  <c r="N277" i="3"/>
  <c r="O277" i="3"/>
  <c r="P277" i="3"/>
  <c r="L278" i="3"/>
  <c r="M278" i="3"/>
  <c r="N278" i="3"/>
  <c r="O278" i="3"/>
  <c r="P278" i="3"/>
  <c r="L279" i="3"/>
  <c r="M279" i="3"/>
  <c r="N279" i="3"/>
  <c r="O279" i="3"/>
  <c r="P279" i="3"/>
  <c r="L280" i="3"/>
  <c r="M280" i="3"/>
  <c r="N280" i="3"/>
  <c r="O280" i="3"/>
  <c r="P280" i="3"/>
  <c r="L281" i="3"/>
  <c r="M281" i="3"/>
  <c r="N281" i="3"/>
  <c r="O281" i="3"/>
  <c r="P281" i="3"/>
  <c r="L282" i="3"/>
  <c r="M282" i="3"/>
  <c r="N282" i="3"/>
  <c r="O282" i="3"/>
  <c r="P282" i="3"/>
  <c r="L283" i="3"/>
  <c r="M283" i="3"/>
  <c r="N283" i="3"/>
  <c r="O283" i="3"/>
  <c r="P283" i="3"/>
  <c r="L284" i="3"/>
  <c r="M284" i="3"/>
  <c r="N284" i="3"/>
  <c r="O284" i="3"/>
  <c r="P284" i="3"/>
  <c r="L285" i="3"/>
  <c r="M285" i="3"/>
  <c r="N285" i="3"/>
  <c r="O285" i="3"/>
  <c r="P285" i="3"/>
  <c r="L286" i="3"/>
  <c r="M286" i="3"/>
  <c r="N286" i="3"/>
  <c r="O286" i="3"/>
  <c r="P286" i="3"/>
  <c r="L287" i="3"/>
  <c r="M287" i="3"/>
  <c r="N287" i="3"/>
  <c r="O287" i="3"/>
  <c r="P287" i="3"/>
  <c r="L288" i="3"/>
  <c r="M288" i="3"/>
  <c r="N288" i="3"/>
  <c r="O288" i="3"/>
  <c r="P288" i="3"/>
  <c r="L289" i="3"/>
  <c r="M289" i="3"/>
  <c r="N289" i="3"/>
  <c r="O289" i="3"/>
  <c r="P289" i="3"/>
  <c r="L290" i="3"/>
  <c r="M290" i="3"/>
  <c r="N290" i="3"/>
  <c r="O290" i="3"/>
  <c r="P290" i="3"/>
  <c r="L291" i="3"/>
  <c r="M291" i="3"/>
  <c r="N291" i="3"/>
  <c r="O291" i="3"/>
  <c r="P291" i="3"/>
  <c r="L292" i="3"/>
  <c r="M292" i="3"/>
  <c r="N292" i="3"/>
  <c r="O292" i="3"/>
  <c r="P292" i="3"/>
  <c r="L293" i="3"/>
  <c r="M293" i="3"/>
  <c r="N293" i="3"/>
  <c r="O293" i="3"/>
  <c r="P293" i="3"/>
  <c r="L294" i="3"/>
  <c r="M294" i="3"/>
  <c r="N294" i="3"/>
  <c r="O294" i="3"/>
  <c r="P294" i="3"/>
  <c r="L295" i="3"/>
  <c r="M295" i="3"/>
  <c r="N295" i="3"/>
  <c r="O295" i="3"/>
  <c r="P295" i="3"/>
  <c r="L296" i="3"/>
  <c r="M296" i="3"/>
  <c r="N296" i="3"/>
  <c r="O296" i="3"/>
  <c r="P296" i="3"/>
  <c r="L297" i="3"/>
  <c r="M297" i="3"/>
  <c r="N297" i="3"/>
  <c r="O297" i="3"/>
  <c r="P297" i="3"/>
  <c r="L298" i="3"/>
  <c r="M298" i="3"/>
  <c r="N298" i="3"/>
  <c r="O298" i="3"/>
  <c r="P298" i="3"/>
  <c r="L299" i="3"/>
  <c r="M299" i="3"/>
  <c r="N299" i="3"/>
  <c r="O299" i="3"/>
  <c r="P299" i="3"/>
  <c r="L300" i="3"/>
  <c r="M300" i="3"/>
  <c r="N300" i="3"/>
  <c r="O300" i="3"/>
  <c r="P300" i="3"/>
  <c r="L301" i="3"/>
  <c r="M301" i="3"/>
  <c r="N301" i="3"/>
  <c r="O301" i="3"/>
  <c r="P301" i="3"/>
  <c r="L302" i="3"/>
  <c r="M302" i="3"/>
  <c r="N302" i="3"/>
  <c r="O302" i="3"/>
  <c r="P302" i="3"/>
  <c r="L303" i="3"/>
  <c r="M303" i="3"/>
  <c r="N303" i="3"/>
  <c r="O303" i="3"/>
  <c r="P303" i="3"/>
  <c r="L304" i="3"/>
  <c r="M304" i="3"/>
  <c r="N304" i="3"/>
  <c r="O304" i="3"/>
  <c r="P304" i="3"/>
  <c r="L305" i="3"/>
  <c r="M305" i="3"/>
  <c r="N305" i="3"/>
  <c r="O305" i="3"/>
  <c r="P305" i="3"/>
  <c r="L306" i="3"/>
  <c r="M306" i="3"/>
  <c r="N306" i="3"/>
  <c r="O306" i="3"/>
  <c r="P306" i="3"/>
  <c r="L307" i="3"/>
  <c r="M307" i="3"/>
  <c r="N307" i="3"/>
  <c r="O307" i="3"/>
  <c r="P307" i="3"/>
  <c r="L308" i="3"/>
  <c r="M308" i="3"/>
  <c r="N308" i="3"/>
  <c r="O308" i="3"/>
  <c r="P308" i="3"/>
  <c r="L309" i="3"/>
  <c r="M309" i="3"/>
  <c r="N309" i="3"/>
  <c r="O309" i="3"/>
  <c r="P309" i="3"/>
  <c r="L310" i="3"/>
  <c r="M310" i="3"/>
  <c r="N310" i="3"/>
  <c r="O310" i="3"/>
  <c r="P310" i="3"/>
  <c r="L311" i="3"/>
  <c r="M311" i="3"/>
  <c r="N311" i="3"/>
  <c r="O311" i="3"/>
  <c r="P311" i="3"/>
  <c r="L312" i="3"/>
  <c r="M312" i="3"/>
  <c r="N312" i="3"/>
  <c r="O312" i="3"/>
  <c r="P312" i="3"/>
  <c r="L313" i="3"/>
  <c r="M313" i="3"/>
  <c r="N313" i="3"/>
  <c r="O313" i="3"/>
  <c r="P313" i="3"/>
  <c r="L314" i="3"/>
  <c r="M314" i="3"/>
  <c r="N314" i="3"/>
  <c r="O314" i="3"/>
  <c r="P314" i="3"/>
  <c r="L315" i="3"/>
  <c r="M315" i="3"/>
  <c r="N315" i="3"/>
  <c r="O315" i="3"/>
  <c r="P315" i="3"/>
  <c r="L316" i="3"/>
  <c r="M316" i="3"/>
  <c r="N316" i="3"/>
  <c r="O316" i="3"/>
  <c r="P316" i="3"/>
  <c r="L317" i="3"/>
  <c r="M317" i="3"/>
  <c r="N317" i="3"/>
  <c r="O317" i="3"/>
  <c r="P317" i="3"/>
  <c r="L318" i="3"/>
  <c r="M318" i="3"/>
  <c r="N318" i="3"/>
  <c r="O318" i="3"/>
  <c r="P318" i="3"/>
  <c r="L319" i="3"/>
  <c r="M319" i="3"/>
  <c r="N319" i="3"/>
  <c r="O319" i="3"/>
  <c r="P319" i="3"/>
  <c r="L320" i="3"/>
  <c r="M320" i="3"/>
  <c r="N320" i="3"/>
  <c r="O320" i="3"/>
  <c r="P320" i="3"/>
  <c r="L321" i="3"/>
  <c r="M321" i="3"/>
  <c r="N321" i="3"/>
  <c r="O321" i="3"/>
  <c r="P321" i="3"/>
  <c r="L322" i="3"/>
  <c r="M322" i="3"/>
  <c r="N322" i="3"/>
  <c r="O322" i="3"/>
  <c r="P322" i="3"/>
  <c r="L323" i="3"/>
  <c r="M323" i="3"/>
  <c r="N323" i="3"/>
  <c r="O323" i="3"/>
  <c r="P323" i="3"/>
  <c r="L324" i="3"/>
  <c r="M324" i="3"/>
  <c r="N324" i="3"/>
  <c r="O324" i="3"/>
  <c r="P324" i="3"/>
  <c r="L325" i="3"/>
  <c r="M325" i="3"/>
  <c r="N325" i="3"/>
  <c r="O325" i="3"/>
  <c r="P325" i="3"/>
  <c r="L326" i="3"/>
  <c r="M326" i="3"/>
  <c r="N326" i="3"/>
  <c r="O326" i="3"/>
  <c r="P326" i="3"/>
  <c r="L327" i="3"/>
  <c r="M327" i="3"/>
  <c r="N327" i="3"/>
  <c r="O327" i="3"/>
  <c r="P327" i="3"/>
  <c r="L328" i="3"/>
  <c r="M328" i="3"/>
  <c r="N328" i="3"/>
  <c r="O328" i="3"/>
  <c r="P328" i="3"/>
  <c r="L329" i="3"/>
  <c r="M329" i="3"/>
  <c r="N329" i="3"/>
  <c r="O329" i="3"/>
  <c r="P329" i="3"/>
  <c r="L330" i="3"/>
  <c r="M330" i="3"/>
  <c r="N330" i="3"/>
  <c r="O330" i="3"/>
  <c r="P330" i="3"/>
  <c r="L331" i="3"/>
  <c r="M331" i="3"/>
  <c r="N331" i="3"/>
  <c r="O331" i="3"/>
  <c r="P331" i="3"/>
  <c r="L332" i="3"/>
  <c r="M332" i="3"/>
  <c r="N332" i="3"/>
  <c r="O332" i="3"/>
  <c r="P332" i="3"/>
  <c r="L333" i="3"/>
  <c r="M333" i="3"/>
  <c r="N333" i="3"/>
  <c r="O333" i="3"/>
  <c r="P333" i="3"/>
  <c r="L334" i="3"/>
  <c r="M334" i="3"/>
  <c r="N334" i="3"/>
  <c r="O334" i="3"/>
  <c r="P334" i="3"/>
  <c r="L335" i="3"/>
  <c r="M335" i="3"/>
  <c r="N335" i="3"/>
  <c r="O335" i="3"/>
  <c r="P335" i="3"/>
  <c r="L336" i="3"/>
  <c r="M336" i="3"/>
  <c r="N336" i="3"/>
  <c r="O336" i="3"/>
  <c r="P336" i="3"/>
  <c r="L337" i="3"/>
  <c r="M337" i="3"/>
  <c r="N337" i="3"/>
  <c r="O337" i="3"/>
  <c r="P337" i="3"/>
  <c r="L338" i="3"/>
  <c r="M338" i="3"/>
  <c r="N338" i="3"/>
  <c r="O338" i="3"/>
  <c r="P338" i="3"/>
  <c r="L339" i="3"/>
  <c r="M339" i="3"/>
  <c r="N339" i="3"/>
  <c r="O339" i="3"/>
  <c r="P339" i="3"/>
  <c r="L340" i="3"/>
  <c r="M340" i="3"/>
  <c r="N340" i="3"/>
  <c r="O340" i="3"/>
  <c r="P340" i="3"/>
  <c r="L341" i="3"/>
  <c r="M341" i="3"/>
  <c r="N341" i="3"/>
  <c r="O341" i="3"/>
  <c r="P341" i="3"/>
  <c r="L342" i="3"/>
  <c r="M342" i="3"/>
  <c r="N342" i="3"/>
  <c r="O342" i="3"/>
  <c r="P342" i="3"/>
  <c r="L343" i="3"/>
  <c r="M343" i="3"/>
  <c r="N343" i="3"/>
  <c r="O343" i="3"/>
  <c r="P343" i="3"/>
  <c r="L344" i="3"/>
  <c r="M344" i="3"/>
  <c r="N344" i="3"/>
  <c r="O344" i="3"/>
  <c r="P344" i="3"/>
  <c r="L345" i="3"/>
  <c r="M345" i="3"/>
  <c r="N345" i="3"/>
  <c r="O345" i="3"/>
  <c r="P345" i="3"/>
  <c r="L346" i="3"/>
  <c r="M346" i="3"/>
  <c r="N346" i="3"/>
  <c r="O346" i="3"/>
  <c r="P346" i="3"/>
  <c r="L347" i="3"/>
  <c r="M347" i="3"/>
  <c r="N347" i="3"/>
  <c r="O347" i="3"/>
  <c r="P347" i="3"/>
  <c r="L348" i="3"/>
  <c r="M348" i="3"/>
  <c r="N348" i="3"/>
  <c r="O348" i="3"/>
  <c r="P348" i="3"/>
  <c r="L349" i="3"/>
  <c r="M349" i="3"/>
  <c r="N349" i="3"/>
  <c r="O349" i="3"/>
  <c r="P349" i="3"/>
  <c r="L350" i="3"/>
  <c r="M350" i="3"/>
  <c r="N350" i="3"/>
  <c r="O350" i="3"/>
  <c r="P350" i="3"/>
  <c r="L351" i="3"/>
  <c r="M351" i="3"/>
  <c r="N351" i="3"/>
  <c r="O351" i="3"/>
  <c r="P351" i="3"/>
  <c r="L352" i="3"/>
  <c r="M352" i="3"/>
  <c r="N352" i="3"/>
  <c r="O352" i="3"/>
  <c r="P352" i="3"/>
  <c r="L353" i="3"/>
  <c r="M353" i="3"/>
  <c r="N353" i="3"/>
  <c r="O353" i="3"/>
  <c r="P353" i="3"/>
  <c r="L354" i="3"/>
  <c r="M354" i="3"/>
  <c r="N354" i="3"/>
  <c r="O354" i="3"/>
  <c r="P354" i="3"/>
  <c r="L355" i="3"/>
  <c r="M355" i="3"/>
  <c r="N355" i="3"/>
  <c r="O355" i="3"/>
  <c r="P355" i="3"/>
  <c r="L356" i="3"/>
  <c r="M356" i="3"/>
  <c r="N356" i="3"/>
  <c r="O356" i="3"/>
  <c r="P356" i="3"/>
  <c r="L357" i="3"/>
  <c r="M357" i="3"/>
  <c r="N357" i="3"/>
  <c r="O357" i="3"/>
  <c r="P357" i="3"/>
  <c r="L358" i="3"/>
  <c r="M358" i="3"/>
  <c r="N358" i="3"/>
  <c r="O358" i="3"/>
  <c r="P358" i="3"/>
  <c r="L359" i="3"/>
  <c r="M359" i="3"/>
  <c r="N359" i="3"/>
  <c r="O359" i="3"/>
  <c r="P359" i="3"/>
  <c r="L360" i="3"/>
  <c r="M360" i="3"/>
  <c r="N360" i="3"/>
  <c r="O360" i="3"/>
  <c r="P360" i="3"/>
  <c r="L361" i="3"/>
  <c r="M361" i="3"/>
  <c r="N361" i="3"/>
  <c r="O361" i="3"/>
  <c r="P361" i="3"/>
  <c r="L362" i="3"/>
  <c r="M362" i="3"/>
  <c r="N362" i="3"/>
  <c r="O362" i="3"/>
  <c r="P362" i="3"/>
  <c r="L363" i="3"/>
  <c r="M363" i="3"/>
  <c r="N363" i="3"/>
  <c r="O363" i="3"/>
  <c r="P363" i="3"/>
  <c r="L364" i="3"/>
  <c r="M364" i="3"/>
  <c r="N364" i="3"/>
  <c r="O364" i="3"/>
  <c r="P364" i="3"/>
  <c r="L365" i="3"/>
  <c r="M365" i="3"/>
  <c r="N365" i="3"/>
  <c r="O365" i="3"/>
  <c r="P365" i="3"/>
  <c r="L366" i="3"/>
  <c r="M366" i="3"/>
  <c r="N366" i="3"/>
  <c r="O366" i="3"/>
  <c r="P366" i="3"/>
  <c r="L367" i="3"/>
  <c r="M367" i="3"/>
  <c r="N367" i="3"/>
  <c r="O367" i="3"/>
  <c r="P367" i="3"/>
  <c r="L368" i="3"/>
  <c r="M368" i="3"/>
  <c r="N368" i="3"/>
  <c r="O368" i="3"/>
  <c r="P368" i="3"/>
  <c r="L369" i="3"/>
  <c r="M369" i="3"/>
  <c r="N369" i="3"/>
  <c r="O369" i="3"/>
  <c r="P369" i="3"/>
  <c r="L370" i="3"/>
  <c r="M370" i="3"/>
  <c r="N370" i="3"/>
  <c r="O370" i="3"/>
  <c r="P370" i="3"/>
  <c r="L371" i="3"/>
  <c r="M371" i="3"/>
  <c r="N371" i="3"/>
  <c r="O371" i="3"/>
  <c r="P371" i="3"/>
  <c r="L372" i="3"/>
  <c r="M372" i="3"/>
  <c r="N372" i="3"/>
  <c r="O372" i="3"/>
  <c r="P372" i="3"/>
  <c r="L373" i="3"/>
  <c r="M373" i="3"/>
  <c r="N373" i="3"/>
  <c r="O373" i="3"/>
  <c r="P373" i="3"/>
  <c r="L374" i="3"/>
  <c r="M374" i="3"/>
  <c r="N374" i="3"/>
  <c r="O374" i="3"/>
  <c r="P374" i="3"/>
  <c r="L375" i="3"/>
  <c r="M375" i="3"/>
  <c r="N375" i="3"/>
  <c r="O375" i="3"/>
  <c r="P375" i="3"/>
  <c r="L376" i="3"/>
  <c r="M376" i="3"/>
  <c r="N376" i="3"/>
  <c r="O376" i="3"/>
  <c r="P376" i="3"/>
  <c r="L377" i="3"/>
  <c r="M377" i="3"/>
  <c r="N377" i="3"/>
  <c r="O377" i="3"/>
  <c r="P377" i="3"/>
  <c r="L378" i="3"/>
  <c r="M378" i="3"/>
  <c r="N378" i="3"/>
  <c r="O378" i="3"/>
  <c r="P378" i="3"/>
  <c r="L379" i="3"/>
  <c r="M379" i="3"/>
  <c r="N379" i="3"/>
  <c r="O379" i="3"/>
  <c r="P379" i="3"/>
  <c r="L380" i="3"/>
  <c r="M380" i="3"/>
  <c r="N380" i="3"/>
  <c r="O380" i="3"/>
  <c r="P380" i="3"/>
  <c r="L381" i="3"/>
  <c r="M381" i="3"/>
  <c r="N381" i="3"/>
  <c r="O381" i="3"/>
  <c r="P381" i="3"/>
  <c r="L382" i="3"/>
  <c r="M382" i="3"/>
  <c r="N382" i="3"/>
  <c r="O382" i="3"/>
  <c r="P382" i="3"/>
  <c r="L383" i="3"/>
  <c r="M383" i="3"/>
  <c r="N383" i="3"/>
  <c r="O383" i="3"/>
  <c r="P383" i="3"/>
  <c r="L384" i="3"/>
  <c r="M384" i="3"/>
  <c r="N384" i="3"/>
  <c r="O384" i="3"/>
  <c r="P384" i="3"/>
  <c r="L385" i="3"/>
  <c r="M385" i="3"/>
  <c r="N385" i="3"/>
  <c r="O385" i="3"/>
  <c r="P385" i="3"/>
  <c r="L386" i="3"/>
  <c r="M386" i="3"/>
  <c r="N386" i="3"/>
  <c r="O386" i="3"/>
  <c r="P386" i="3"/>
  <c r="L387" i="3"/>
  <c r="M387" i="3"/>
  <c r="N387" i="3"/>
  <c r="O387" i="3"/>
  <c r="P387" i="3"/>
  <c r="L388" i="3"/>
  <c r="M388" i="3"/>
  <c r="N388" i="3"/>
  <c r="O388" i="3"/>
  <c r="P388" i="3"/>
  <c r="L389" i="3"/>
  <c r="M389" i="3"/>
  <c r="N389" i="3"/>
  <c r="O389" i="3"/>
  <c r="P389" i="3"/>
  <c r="L390" i="3"/>
  <c r="M390" i="3"/>
  <c r="N390" i="3"/>
  <c r="O390" i="3"/>
  <c r="P390" i="3"/>
  <c r="L391" i="3"/>
  <c r="M391" i="3"/>
  <c r="N391" i="3"/>
  <c r="O391" i="3"/>
  <c r="P391" i="3"/>
  <c r="L392" i="3"/>
  <c r="M392" i="3"/>
  <c r="N392" i="3"/>
  <c r="O392" i="3"/>
  <c r="P392" i="3"/>
  <c r="L393" i="3"/>
  <c r="M393" i="3"/>
  <c r="N393" i="3"/>
  <c r="O393" i="3"/>
  <c r="P393" i="3"/>
  <c r="L394" i="3"/>
  <c r="M394" i="3"/>
  <c r="N394" i="3"/>
  <c r="O394" i="3"/>
  <c r="P394" i="3"/>
  <c r="L395" i="3"/>
  <c r="M395" i="3"/>
  <c r="N395" i="3"/>
  <c r="O395" i="3"/>
  <c r="P395" i="3"/>
  <c r="L396" i="3"/>
  <c r="M396" i="3"/>
  <c r="N396" i="3"/>
  <c r="O396" i="3"/>
  <c r="P396" i="3"/>
  <c r="L397" i="3"/>
  <c r="M397" i="3"/>
  <c r="N397" i="3"/>
  <c r="O397" i="3"/>
  <c r="P397" i="3"/>
  <c r="L398" i="3"/>
  <c r="M398" i="3"/>
  <c r="N398" i="3"/>
  <c r="O398" i="3"/>
  <c r="P398" i="3"/>
  <c r="L399" i="3"/>
  <c r="M399" i="3"/>
  <c r="N399" i="3"/>
  <c r="O399" i="3"/>
  <c r="P399" i="3"/>
  <c r="L400" i="3"/>
  <c r="M400" i="3"/>
  <c r="N400" i="3"/>
  <c r="O400" i="3"/>
  <c r="P400" i="3"/>
  <c r="L401" i="3"/>
  <c r="M401" i="3"/>
  <c r="N401" i="3"/>
  <c r="O401" i="3"/>
  <c r="P401" i="3"/>
  <c r="L402" i="3"/>
  <c r="M402" i="3"/>
  <c r="N402" i="3"/>
  <c r="O402" i="3"/>
  <c r="P402" i="3"/>
  <c r="L403" i="3"/>
  <c r="M403" i="3"/>
  <c r="N403" i="3"/>
  <c r="O403" i="3"/>
  <c r="P403" i="3"/>
  <c r="L404" i="3"/>
  <c r="M404" i="3"/>
  <c r="N404" i="3"/>
  <c r="O404" i="3"/>
  <c r="P404" i="3"/>
  <c r="L405" i="3"/>
  <c r="M405" i="3"/>
  <c r="N405" i="3"/>
  <c r="O405" i="3"/>
  <c r="P405" i="3"/>
  <c r="L406" i="3"/>
  <c r="M406" i="3"/>
  <c r="N406" i="3"/>
  <c r="O406" i="3"/>
  <c r="P406" i="3"/>
  <c r="L407" i="3"/>
  <c r="M407" i="3"/>
  <c r="N407" i="3"/>
  <c r="O407" i="3"/>
  <c r="P407" i="3"/>
  <c r="L408" i="3"/>
  <c r="M408" i="3"/>
  <c r="N408" i="3"/>
  <c r="O408" i="3"/>
  <c r="P408" i="3"/>
  <c r="L409" i="3"/>
  <c r="M409" i="3"/>
  <c r="N409" i="3"/>
  <c r="O409" i="3"/>
  <c r="P409" i="3"/>
  <c r="L410" i="3"/>
  <c r="M410" i="3"/>
  <c r="N410" i="3"/>
  <c r="O410" i="3"/>
  <c r="P410" i="3"/>
  <c r="L411" i="3"/>
  <c r="M411" i="3"/>
  <c r="N411" i="3"/>
  <c r="O411" i="3"/>
  <c r="P411" i="3"/>
  <c r="L412" i="3"/>
  <c r="M412" i="3"/>
  <c r="N412" i="3"/>
  <c r="O412" i="3"/>
  <c r="P412" i="3"/>
  <c r="L413" i="3"/>
  <c r="M413" i="3"/>
  <c r="N413" i="3"/>
  <c r="O413" i="3"/>
  <c r="P413" i="3"/>
  <c r="L414" i="3"/>
  <c r="M414" i="3"/>
  <c r="N414" i="3"/>
  <c r="O414" i="3"/>
  <c r="P414" i="3"/>
  <c r="L415" i="3"/>
  <c r="M415" i="3"/>
  <c r="N415" i="3"/>
  <c r="O415" i="3"/>
  <c r="P415" i="3"/>
  <c r="L416" i="3"/>
  <c r="M416" i="3"/>
  <c r="N416" i="3"/>
  <c r="O416" i="3"/>
  <c r="P416" i="3"/>
  <c r="L417" i="3"/>
  <c r="M417" i="3"/>
  <c r="N417" i="3"/>
  <c r="O417" i="3"/>
  <c r="P417" i="3"/>
  <c r="L418" i="3"/>
  <c r="M418" i="3"/>
  <c r="N418" i="3"/>
  <c r="O418" i="3"/>
  <c r="P418" i="3"/>
  <c r="L12" i="3"/>
  <c r="M12" i="3"/>
  <c r="N12" i="3"/>
  <c r="O12" i="3"/>
  <c r="P12" i="3"/>
  <c r="L13" i="3"/>
  <c r="M13" i="3"/>
  <c r="N13" i="3"/>
  <c r="O13" i="3"/>
  <c r="P13" i="3"/>
  <c r="L14" i="3"/>
  <c r="M14" i="3"/>
  <c r="N14" i="3"/>
  <c r="O14" i="3"/>
  <c r="P14" i="3"/>
  <c r="L15" i="3"/>
  <c r="M15" i="3"/>
  <c r="N15" i="3"/>
  <c r="O15" i="3"/>
  <c r="P15" i="3"/>
  <c r="L16" i="3"/>
  <c r="M16" i="3"/>
  <c r="N16" i="3"/>
  <c r="O16" i="3"/>
  <c r="P16" i="3"/>
  <c r="M11" i="3"/>
  <c r="N11" i="3"/>
  <c r="O11" i="3"/>
  <c r="P11" i="3"/>
  <c r="L11" i="3"/>
  <c r="D6" i="8" l="1" a="1"/>
  <c r="E8" i="8" s="1"/>
  <c r="B1" i="8" a="1"/>
  <c r="B1" i="8" s="1"/>
  <c r="A1" i="8" a="1"/>
  <c r="E10" i="8" s="1"/>
  <c r="A1" i="8" l="1"/>
  <c r="D2" i="8"/>
  <c r="D6" i="8"/>
  <c r="J23" i="3" l="1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12" i="3"/>
  <c r="J13" i="3"/>
  <c r="J14" i="3"/>
  <c r="J15" i="3"/>
  <c r="J16" i="3"/>
  <c r="J17" i="3"/>
  <c r="J18" i="3"/>
  <c r="J19" i="3"/>
  <c r="J20" i="3"/>
  <c r="J21" i="3"/>
  <c r="J22" i="3"/>
  <c r="J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Aurora Kolstad</author>
  </authors>
  <commentList>
    <comment ref="A86" authorId="0" shapeId="0" xr:uid="{89DB4CB7-0925-415E-92BB-B9FB403F4FF3}">
      <text>
        <r>
          <rPr>
            <b/>
            <sz val="9"/>
            <color indexed="81"/>
            <rFont val="Tahoma"/>
            <family val="2"/>
          </rPr>
          <t>Aurora Kolstad:</t>
        </r>
        <r>
          <rPr>
            <sz val="9"/>
            <color indexed="81"/>
            <rFont val="Tahoma"/>
            <family val="2"/>
          </rPr>
          <t xml:space="preserve">
Changed from EL to GR to match SAM</t>
        </r>
      </text>
    </comment>
    <comment ref="B326" authorId="0" shapeId="0" xr:uid="{C61BB239-8E79-44AD-A920-B4609F9AD6A4}">
      <text>
        <r>
          <rPr>
            <b/>
            <sz val="9"/>
            <color indexed="81"/>
            <rFont val="Tahoma"/>
            <family val="2"/>
          </rPr>
          <t>Aurora Kolstad:</t>
        </r>
        <r>
          <rPr>
            <sz val="9"/>
            <color indexed="81"/>
            <rFont val="Tahoma"/>
            <family val="2"/>
          </rPr>
          <t xml:space="preserve">
Copied Netherlands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Aurora Kolstad</author>
  </authors>
  <commentList>
    <comment ref="B98" authorId="0" shapeId="0" xr:uid="{135F214F-6DEB-4A89-A616-12D39D3C6F1C}">
      <text>
        <r>
          <rPr>
            <b/>
            <sz val="9"/>
            <color indexed="81"/>
            <rFont val="Tahoma"/>
            <family val="2"/>
          </rPr>
          <t>Aurora Kolstad:</t>
        </r>
        <r>
          <rPr>
            <sz val="9"/>
            <color indexed="81"/>
            <rFont val="Tahoma"/>
            <family val="2"/>
          </rPr>
          <t xml:space="preserve">
Changed from EL to GR to match SAM</t>
        </r>
      </text>
    </comment>
    <comment ref="C338" authorId="0" shapeId="0" xr:uid="{B8EA42E8-0597-46A6-A57B-BBCA5E7A486C}">
      <text>
        <r>
          <rPr>
            <b/>
            <sz val="9"/>
            <color indexed="81"/>
            <rFont val="Tahoma"/>
            <family val="2"/>
          </rPr>
          <t>Aurora Kolstad:</t>
        </r>
        <r>
          <rPr>
            <sz val="9"/>
            <color indexed="81"/>
            <rFont val="Tahoma"/>
            <family val="2"/>
          </rPr>
          <t xml:space="preserve">
Copied Netherlands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<sst xmlns="http://schemas.openxmlformats.org/spreadsheetml/2006/main" count="7167" uniqueCount="179">
  <si>
    <t>Structure of consumption expenditure by income quintile and COICOP consumption purpose [hbs_str_t223__custom_18000996]</t>
  </si>
  <si>
    <t>Open product page</t>
  </si>
  <si>
    <t>Open in Data Browser</t>
  </si>
  <si>
    <t xml:space="preserve">Description: </t>
  </si>
  <si>
    <t>-</t>
  </si>
  <si>
    <t xml:space="preserve">Last update of data: </t>
  </si>
  <si>
    <t>19/02/2025 11:00</t>
  </si>
  <si>
    <t xml:space="preserve">Last change of data structure: </t>
  </si>
  <si>
    <t>18/02/2025 23:00</t>
  </si>
  <si>
    <t>Institutional source(s)</t>
  </si>
  <si>
    <t>Eurostat</t>
  </si>
  <si>
    <t>Contents</t>
  </si>
  <si>
    <t>Time frequency</t>
  </si>
  <si>
    <t>Unit of measure</t>
  </si>
  <si>
    <t>Time [TIME]</t>
  </si>
  <si>
    <t>Sheet 1</t>
  </si>
  <si>
    <t>Annual</t>
  </si>
  <si>
    <t>Per mille</t>
  </si>
  <si>
    <t>2015</t>
  </si>
  <si>
    <t>Flags 1</t>
  </si>
  <si>
    <t>Structure</t>
  </si>
  <si>
    <t>Dimension</t>
  </si>
  <si>
    <t/>
  </si>
  <si>
    <t>Position</t>
  </si>
  <si>
    <t>Code</t>
  </si>
  <si>
    <t>Label</t>
  </si>
  <si>
    <t>Quantile</t>
  </si>
  <si>
    <t>First quintile</t>
  </si>
  <si>
    <t>Second quintile</t>
  </si>
  <si>
    <t>Third quintile</t>
  </si>
  <si>
    <t>Fourth quintile</t>
  </si>
  <si>
    <t>Fifth quintile</t>
  </si>
  <si>
    <t>coicop</t>
  </si>
  <si>
    <t>Classification of individual consumption by purpose (COICOP)</t>
  </si>
  <si>
    <t>CP01</t>
  </si>
  <si>
    <t>Food and non-alcoholic beverages</t>
  </si>
  <si>
    <t>CP02</t>
  </si>
  <si>
    <t>Alcoholic beverages, tobacco and narcotics</t>
  </si>
  <si>
    <t>CP03</t>
  </si>
  <si>
    <t>Clothing and footwear</t>
  </si>
  <si>
    <t>CP04</t>
  </si>
  <si>
    <t>Housing, water, electricity, gas and other fuels</t>
  </si>
  <si>
    <t>CP05</t>
  </si>
  <si>
    <t>Furnishings, household equipment and routine household maintenance</t>
  </si>
  <si>
    <t>CP06</t>
  </si>
  <si>
    <t>Health</t>
  </si>
  <si>
    <t>CP07</t>
  </si>
  <si>
    <t>Transport</t>
  </si>
  <si>
    <t>CP08</t>
  </si>
  <si>
    <t>Communications</t>
  </si>
  <si>
    <t>CP09</t>
  </si>
  <si>
    <t>Recreation and culture</t>
  </si>
  <si>
    <t>CP10</t>
  </si>
  <si>
    <t>Education</t>
  </si>
  <si>
    <t>CP11</t>
  </si>
  <si>
    <t>Restaurants and hotels</t>
  </si>
  <si>
    <t>CP12</t>
  </si>
  <si>
    <t>Miscellaneous goods and services</t>
  </si>
  <si>
    <t>Geopolitical entity (reporting)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</si>
  <si>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</si>
  <si>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</si>
  <si>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</si>
  <si>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</si>
  <si>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</si>
  <si>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</si>
  <si>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</si>
  <si>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</si>
  <si>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</si>
  <si>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</si>
  <si>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</si>
  <si>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</si>
  <si>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</si>
  <si>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</si>
  <si>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</si>
  <si>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</si>
  <si>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</si>
  <si>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</si>
  <si>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</si>
  <si>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</si>
  <si>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</si>
  <si>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</si>
  <si>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</si>
  <si>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</si>
  <si>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</si>
  <si>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</si>
  <si>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</si>
  <si>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</si>
  <si>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United Kingdom</t>
  </si>
  <si>
    <t>Montenegro</t>
  </si>
  <si>
    <t>North Macedonia</t>
  </si>
  <si>
    <t>Serbia</t>
  </si>
  <si>
    <t>Türkiye</t>
  </si>
  <si>
    <t>Kosovo*</t>
  </si>
  <si>
    <t>time</t>
  </si>
  <si>
    <t>Time</t>
  </si>
  <si>
    <t>Data extracted on 09/09/2025 18:24:54 from [ESTAT]</t>
  </si>
  <si>
    <t xml:space="preserve">Dataset: </t>
  </si>
  <si>
    <t xml:space="preserve">Last updated: </t>
  </si>
  <si>
    <t>QUANTILE (Labels)</t>
  </si>
  <si>
    <t>GEO (Labels)</t>
  </si>
  <si>
    <t>COICOP (Codes)</t>
  </si>
  <si>
    <t>COICOP (Labels)</t>
  </si>
  <si>
    <t>:</t>
  </si>
  <si>
    <t>Special value</t>
  </si>
  <si>
    <t>not available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</si>
  <si>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</si>
  <si>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</si>
  <si>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</si>
  <si>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</si>
  <si>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</si>
  <si>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</si>
  <si>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</si>
  <si>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</si>
  <si>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</si>
  <si>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</si>
  <si>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</si>
  <si>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</si>
  <si>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BASKET</t>
  </si>
  <si>
    <t>UnitedKingdom</t>
  </si>
  <si>
    <t>NorthMacedonia</t>
  </si>
  <si>
    <t>FirstQuintile</t>
  </si>
  <si>
    <t>SecondQuintile</t>
  </si>
  <si>
    <t>ThirdQuintile</t>
  </si>
  <si>
    <t>FourthQuintile</t>
  </si>
  <si>
    <t>FifthQuintile</t>
  </si>
  <si>
    <t>Turkiye</t>
  </si>
  <si>
    <t>Kosovo</t>
  </si>
  <si>
    <t>Edits made:</t>
  </si>
  <si>
    <t>*Change names of countries to not include spaces and characters not supported by GAMS</t>
  </si>
  <si>
    <t>c1</t>
  </si>
  <si>
    <t>c2</t>
  </si>
  <si>
    <t>r1</t>
  </si>
  <si>
    <t>r2</t>
  </si>
  <si>
    <t>a1</t>
  </si>
  <si>
    <t>a2</t>
  </si>
  <si>
    <t>Q1</t>
  </si>
  <si>
    <t>Q2</t>
  </si>
  <si>
    <t>Q3</t>
  </si>
  <si>
    <t>Q4</t>
  </si>
  <si>
    <t>Q5</t>
  </si>
  <si>
    <t>Belgium, Bulgaria, Czechia, Denmark, Germany, Estonia, Ireland, Greece, Spain, France, Croatia, Italy, Cyprus, Latvia, Lithuania, Luxembourg, Hungary, Malta, Netherlands, Austria, Poland, Portugal, Romania, Slovenia, Slovakia, Finland, Sweden, Norway, UnitedKingdom, Montenegro, NorthMacedonia, Serbia, Turkiye, Kosovo</t>
  </si>
  <si>
    <t>BE</t>
  </si>
  <si>
    <t>BG</t>
  </si>
  <si>
    <t>CZ</t>
  </si>
  <si>
    <t>DK</t>
  </si>
  <si>
    <t>DE</t>
  </si>
  <si>
    <t>EE</t>
  </si>
  <si>
    <t>IE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</si>
  <si>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</si>
  <si>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</si>
  <si>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</si>
  <si>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</si>
  <si>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</si>
  <si>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</si>
  <si>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</si>
  <si>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</si>
  <si>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</si>
  <si>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</si>
  <si>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</si>
  <si>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</si>
  <si>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</si>
  <si>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</si>
  <si>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</si>
  <si>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</si>
  <si>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</si>
  <si>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</si>
  <si>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</si>
  <si>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NO</t>
  </si>
  <si>
    <t>ME</t>
  </si>
  <si>
    <t>MK</t>
  </si>
  <si>
    <t>RS</t>
  </si>
  <si>
    <t>TR</t>
  </si>
  <si>
    <t>XK</t>
  </si>
  <si>
    <t>BE, BG, CZ, DK, DE, EE, IE, EL, ES, FR, HR, IT, CY, LV, LT, LU, HU, MT, NL, AT, PL, PT, RO, SI, SK, FI, SE, NO, UK, ME, MK, RS, TR, XK</t>
  </si>
  <si>
    <t>CP01, CP02, CP03, CP04, CP05, CP06, CP07, CP08, CP09, CP10, CP11, CP12</t>
  </si>
  <si>
    <t>GR</t>
  </si>
  <si>
    <t>GB</t>
  </si>
  <si>
    <t>CH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</si>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</sst>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0" fontId="0" fillId="0" borderId="0" xfId="1" applyNumberFormat="1" applyFont="1"/>
    <xf numFmtId="0" fontId="7" fillId="0" borderId="0" xfId="0" applyFont="1"/>
    <xf numFmtId="10" fontId="0" fillId="0" borderId="0" xfId="0" applyNumberFormat="1"/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248806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hbs_str_t223__custom_18000996/default/table" TargetMode="External"/><Relationship Id="rId1" Type="http://schemas.openxmlformats.org/officeDocument/2006/relationships/hyperlink" Target="https://ec.europa.eu/eurostat/databrowser/product/page/hbs_str_t223__custom_1800099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>
      <selection activeCell="B7" sqref="B7"/>
    </sheetView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14.77734375" customWidth="1"/>
    <col min="5" max="5" width="11.3320312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3">
      <c r="B16" s="13" t="s">
        <v>15</v>
      </c>
      <c r="C16" s="2" t="s">
        <v>16</v>
      </c>
      <c r="D16" s="2" t="s">
        <v>17</v>
      </c>
      <c r="E16" s="2" t="s">
        <v>18</v>
      </c>
    </row>
    <row r="17" spans="2:5" x14ac:dyDescent="0.3">
      <c r="B17" s="12" t="s">
        <v>19</v>
      </c>
      <c r="C17" s="11" t="s">
        <v>16</v>
      </c>
      <c r="D17" s="11" t="s">
        <v>17</v>
      </c>
      <c r="E17" s="11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showGridLines="0" topLeftCell="A29" workbookViewId="0"/>
  </sheetViews>
  <sheetFormatPr defaultRowHeight="14.4" x14ac:dyDescent="0.3"/>
  <cols>
    <col min="2" max="5" width="79.6640625" customWidth="1"/>
  </cols>
  <sheetData>
    <row r="1" spans="1:5" x14ac:dyDescent="0.3">
      <c r="A1" s="1" t="s">
        <v>20</v>
      </c>
    </row>
    <row r="2" spans="1:5" x14ac:dyDescent="0.3">
      <c r="B2" s="14" t="s">
        <v>21</v>
      </c>
      <c r="C2" s="14" t="s">
        <v>22</v>
      </c>
      <c r="D2" s="14" t="s">
        <v>23</v>
      </c>
      <c r="E2" s="14" t="s">
        <v>22</v>
      </c>
    </row>
    <row r="3" spans="1:5" x14ac:dyDescent="0.3">
      <c r="B3" s="15" t="s">
        <v>24</v>
      </c>
      <c r="C3" s="15" t="s">
        <v>25</v>
      </c>
      <c r="D3" s="15" t="s">
        <v>24</v>
      </c>
      <c r="E3" s="15" t="s">
        <v>25</v>
      </c>
    </row>
    <row r="4" spans="1:5" x14ac:dyDescent="0.3">
      <c r="C4" s="2" t="s">
        <v>12</v>
      </c>
      <c r="E4" s="2" t="s">
        <v>16</v>
      </c>
    </row>
    <row r="5" spans="1:5" x14ac:dyDescent="0.3">
      <c r="C5" s="11" t="s">
        <v>26</v>
      </c>
      <c r="E5" s="11" t="s">
        <v>27</v>
      </c>
    </row>
    <row r="6" spans="1:5" x14ac:dyDescent="0.3">
      <c r="C6" s="2" t="s">
        <v>26</v>
      </c>
      <c r="E6" s="2" t="s">
        <v>28</v>
      </c>
    </row>
    <row r="7" spans="1:5" x14ac:dyDescent="0.3">
      <c r="C7" s="11" t="s">
        <v>26</v>
      </c>
      <c r="E7" s="11" t="s">
        <v>29</v>
      </c>
    </row>
    <row r="8" spans="1:5" x14ac:dyDescent="0.3">
      <c r="C8" s="2" t="s">
        <v>26</v>
      </c>
      <c r="E8" s="2" t="s">
        <v>30</v>
      </c>
    </row>
    <row r="9" spans="1:5" x14ac:dyDescent="0.3">
      <c r="C9" s="11" t="s">
        <v>26</v>
      </c>
      <c r="E9" s="11" t="s">
        <v>31</v>
      </c>
    </row>
    <row r="10" spans="1:5" x14ac:dyDescent="0.3">
      <c r="B10" s="2" t="s">
        <v>32</v>
      </c>
      <c r="C10" s="2" t="s">
        <v>33</v>
      </c>
      <c r="D10" s="2" t="s">
        <v>34</v>
      </c>
      <c r="E10" s="2" t="s">
        <v>35</v>
      </c>
    </row>
    <row r="11" spans="1:5" x14ac:dyDescent="0.3">
      <c r="B11" s="11" t="s">
        <v>32</v>
      </c>
      <c r="C11" s="11" t="s">
        <v>33</v>
      </c>
      <c r="D11" s="11" t="s">
        <v>36</v>
      </c>
      <c r="E11" s="11" t="s">
        <v>37</v>
      </c>
    </row>
    <row r="12" spans="1:5" x14ac:dyDescent="0.3">
      <c r="B12" s="2" t="s">
        <v>32</v>
      </c>
      <c r="C12" s="2" t="s">
        <v>33</v>
      </c>
      <c r="D12" s="2" t="s">
        <v>38</v>
      </c>
      <c r="E12" s="2" t="s">
        <v>39</v>
      </c>
    </row>
    <row r="13" spans="1:5" x14ac:dyDescent="0.3">
      <c r="B13" s="11" t="s">
        <v>32</v>
      </c>
      <c r="C13" s="11" t="s">
        <v>33</v>
      </c>
      <c r="D13" s="11" t="s">
        <v>40</v>
      </c>
      <c r="E13" s="11" t="s">
        <v>41</v>
      </c>
    </row>
    <row r="14" spans="1:5" x14ac:dyDescent="0.3">
      <c r="B14" s="2" t="s">
        <v>32</v>
      </c>
      <c r="C14" s="2" t="s">
        <v>33</v>
      </c>
      <c r="D14" s="2" t="s">
        <v>42</v>
      </c>
      <c r="E14" s="2" t="s">
        <v>43</v>
      </c>
    </row>
    <row r="15" spans="1:5" x14ac:dyDescent="0.3">
      <c r="B15" s="11" t="s">
        <v>32</v>
      </c>
      <c r="C15" s="11" t="s">
        <v>33</v>
      </c>
      <c r="D15" s="11" t="s">
        <v>44</v>
      </c>
      <c r="E15" s="11" t="s">
        <v>45</v>
      </c>
    </row>
    <row r="16" spans="1:5" x14ac:dyDescent="0.3">
      <c r="B16" s="2" t="s">
        <v>32</v>
      </c>
      <c r="C16" s="2" t="s">
        <v>33</v>
      </c>
      <c r="D16" s="2" t="s">
        <v>46</v>
      </c>
      <c r="E16" s="2" t="s">
        <v>47</v>
      </c>
    </row>
    <row r="17" spans="2:5" x14ac:dyDescent="0.3">
      <c r="B17" s="11" t="s">
        <v>32</v>
      </c>
      <c r="C17" s="11" t="s">
        <v>33</v>
      </c>
      <c r="D17" s="11" t="s">
        <v>48</v>
      </c>
      <c r="E17" s="11" t="s">
        <v>49</v>
      </c>
    </row>
    <row r="18" spans="2:5" x14ac:dyDescent="0.3">
      <c r="B18" s="2" t="s">
        <v>32</v>
      </c>
      <c r="C18" s="2" t="s">
        <v>33</v>
      </c>
      <c r="D18" s="2" t="s">
        <v>50</v>
      </c>
      <c r="E18" s="2" t="s">
        <v>51</v>
      </c>
    </row>
    <row r="19" spans="2:5" x14ac:dyDescent="0.3">
      <c r="B19" s="11" t="s">
        <v>32</v>
      </c>
      <c r="C19" s="11" t="s">
        <v>33</v>
      </c>
      <c r="D19" s="11" t="s">
        <v>52</v>
      </c>
      <c r="E19" s="11" t="s">
        <v>53</v>
      </c>
    </row>
    <row r="20" spans="2:5" x14ac:dyDescent="0.3">
      <c r="B20" s="2" t="s">
        <v>32</v>
      </c>
      <c r="C20" s="2" t="s">
        <v>33</v>
      </c>
      <c r="D20" s="2" t="s">
        <v>54</v>
      </c>
      <c r="E20" s="2" t="s">
        <v>55</v>
      </c>
    </row>
    <row r="21" spans="2:5" x14ac:dyDescent="0.3">
      <c r="B21" s="11" t="s">
        <v>32</v>
      </c>
      <c r="C21" s="11" t="s">
        <v>33</v>
      </c>
      <c r="D21" s="11" t="s">
        <v>56</v>
      </c>
      <c r="E21" s="11" t="s">
        <v>57</v>
      </c>
    </row>
    <row r="22" spans="2:5" x14ac:dyDescent="0.3">
      <c r="C22" s="2" t="s">
        <v>13</v>
      </c>
      <c r="E22" s="2" t="s">
        <v>17</v>
      </c>
    </row>
    <row r="23" spans="2:5" x14ac:dyDescent="0.3">
      <c r="C23" s="11" t="s">
        <v>58</v>
      </c>
      <c r="E23" s="11" t="s">
        <v>59</v>
      </c>
    </row>
    <row r="24" spans="2:5" x14ac:dyDescent="0.3">
      <c r="C24" s="2" t="s">
        <v>58</v>
      </c>
      <c r="E24" s="2" t="s">
        <v>60</v>
      </c>
    </row>
    <row r="25" spans="2:5" x14ac:dyDescent="0.3">
      <c r="C25" s="11" t="s">
        <v>58</v>
      </c>
      <c r="E25" s="11" t="s">
        <v>61</v>
      </c>
    </row>
    <row r="26" spans="2:5" x14ac:dyDescent="0.3">
      <c r="C26" s="2" t="s">
        <v>58</v>
      </c>
      <c r="E26" s="2" t="s">
        <v>62</v>
      </c>
    </row>
    <row r="27" spans="2:5" x14ac:dyDescent="0.3">
      <c r="C27" s="11" t="s">
        <v>58</v>
      </c>
      <c r="E27" s="11" t="s">
        <v>63</v>
      </c>
    </row>
    <row r="28" spans="2:5" x14ac:dyDescent="0.3">
      <c r="C28" s="2" t="s">
        <v>58</v>
      </c>
      <c r="E28" s="2" t="s">
        <v>64</v>
      </c>
    </row>
    <row r="29" spans="2:5" x14ac:dyDescent="0.3">
      <c r="C29" s="11" t="s">
        <v>58</v>
      </c>
      <c r="E29" s="11" t="s">
        <v>65</v>
      </c>
    </row>
    <row r="30" spans="2:5" x14ac:dyDescent="0.3">
      <c r="C30" s="2" t="s">
        <v>58</v>
      </c>
      <c r="E30" s="2" t="s">
        <v>66</v>
      </c>
    </row>
    <row r="31" spans="2:5" x14ac:dyDescent="0.3">
      <c r="C31" s="11" t="s">
        <v>58</v>
      </c>
      <c r="E31" s="11" t="s">
        <v>67</v>
      </c>
    </row>
    <row r="32" spans="2:5" x14ac:dyDescent="0.3">
      <c r="C32" s="2" t="s">
        <v>58</v>
      </c>
      <c r="E32" s="2" t="s">
        <v>68</v>
      </c>
    </row>
    <row r="33" spans="3:5" x14ac:dyDescent="0.3">
      <c r="C33" s="11" t="s">
        <v>58</v>
      </c>
      <c r="E33" s="11" t="s">
        <v>69</v>
      </c>
    </row>
    <row r="34" spans="3:5" x14ac:dyDescent="0.3">
      <c r="C34" s="2" t="s">
        <v>58</v>
      </c>
      <c r="E34" s="2" t="s">
        <v>70</v>
      </c>
    </row>
    <row r="35" spans="3:5" x14ac:dyDescent="0.3">
      <c r="C35" s="11" t="s">
        <v>58</v>
      </c>
      <c r="E35" s="11" t="s">
        <v>71</v>
      </c>
    </row>
    <row r="36" spans="3:5" x14ac:dyDescent="0.3">
      <c r="C36" s="2" t="s">
        <v>58</v>
      </c>
      <c r="E36" s="2" t="s">
        <v>72</v>
      </c>
    </row>
    <row r="37" spans="3:5" x14ac:dyDescent="0.3">
      <c r="C37" s="11" t="s">
        <v>58</v>
      </c>
      <c r="E37" s="11" t="s">
        <v>73</v>
      </c>
    </row>
    <row r="38" spans="3:5" x14ac:dyDescent="0.3">
      <c r="C38" s="2" t="s">
        <v>58</v>
      </c>
      <c r="E38" s="2" t="s">
        <v>74</v>
      </c>
    </row>
    <row r="39" spans="3:5" x14ac:dyDescent="0.3">
      <c r="C39" s="11" t="s">
        <v>58</v>
      </c>
      <c r="E39" s="11" t="s">
        <v>75</v>
      </c>
    </row>
    <row r="40" spans="3:5" x14ac:dyDescent="0.3">
      <c r="C40" s="2" t="s">
        <v>58</v>
      </c>
      <c r="E40" s="2" t="s">
        <v>76</v>
      </c>
    </row>
    <row r="41" spans="3:5" x14ac:dyDescent="0.3">
      <c r="C41" s="11" t="s">
        <v>58</v>
      </c>
      <c r="E41" s="11" t="s">
        <v>77</v>
      </c>
    </row>
    <row r="42" spans="3:5" x14ac:dyDescent="0.3">
      <c r="C42" s="2" t="s">
        <v>58</v>
      </c>
      <c r="E42" s="2" t="s">
        <v>78</v>
      </c>
    </row>
    <row r="43" spans="3:5" x14ac:dyDescent="0.3">
      <c r="C43" s="11" t="s">
        <v>58</v>
      </c>
      <c r="E43" s="11" t="s">
        <v>79</v>
      </c>
    </row>
    <row r="44" spans="3:5" x14ac:dyDescent="0.3">
      <c r="C44" s="2" t="s">
        <v>58</v>
      </c>
      <c r="E44" s="2" t="s">
        <v>80</v>
      </c>
    </row>
    <row r="45" spans="3:5" x14ac:dyDescent="0.3">
      <c r="C45" s="11" t="s">
        <v>58</v>
      </c>
      <c r="E45" s="11" t="s">
        <v>81</v>
      </c>
    </row>
    <row r="46" spans="3:5" x14ac:dyDescent="0.3">
      <c r="C46" s="2" t="s">
        <v>58</v>
      </c>
      <c r="E46" s="2" t="s">
        <v>82</v>
      </c>
    </row>
    <row r="47" spans="3:5" x14ac:dyDescent="0.3">
      <c r="C47" s="11" t="s">
        <v>58</v>
      </c>
      <c r="E47" s="11" t="s">
        <v>83</v>
      </c>
    </row>
    <row r="48" spans="3:5" x14ac:dyDescent="0.3">
      <c r="C48" s="2" t="s">
        <v>58</v>
      </c>
      <c r="E48" s="2" t="s">
        <v>84</v>
      </c>
    </row>
    <row r="49" spans="2:5" x14ac:dyDescent="0.3">
      <c r="C49" s="11" t="s">
        <v>58</v>
      </c>
      <c r="E49" s="11" t="s">
        <v>85</v>
      </c>
    </row>
    <row r="50" spans="2:5" x14ac:dyDescent="0.3">
      <c r="C50" s="2" t="s">
        <v>58</v>
      </c>
      <c r="E50" s="2" t="s">
        <v>86</v>
      </c>
    </row>
    <row r="51" spans="2:5" x14ac:dyDescent="0.3">
      <c r="C51" s="11" t="s">
        <v>58</v>
      </c>
      <c r="E51" s="11" t="s">
        <v>87</v>
      </c>
    </row>
    <row r="52" spans="2:5" x14ac:dyDescent="0.3">
      <c r="C52" s="2" t="s">
        <v>58</v>
      </c>
      <c r="E52" s="2" t="s">
        <v>88</v>
      </c>
    </row>
    <row r="53" spans="2:5" x14ac:dyDescent="0.3">
      <c r="C53" s="11" t="s">
        <v>58</v>
      </c>
      <c r="E53" s="11" t="s">
        <v>89</v>
      </c>
    </row>
    <row r="54" spans="2:5" x14ac:dyDescent="0.3">
      <c r="C54" s="2" t="s">
        <v>58</v>
      </c>
      <c r="E54" s="2" t="s">
        <v>90</v>
      </c>
    </row>
    <row r="55" spans="2:5" x14ac:dyDescent="0.3">
      <c r="C55" s="11" t="s">
        <v>58</v>
      </c>
      <c r="E55" s="11" t="s">
        <v>91</v>
      </c>
    </row>
    <row r="56" spans="2:5" x14ac:dyDescent="0.3">
      <c r="C56" s="2" t="s">
        <v>58</v>
      </c>
      <c r="E56" s="2" t="s">
        <v>92</v>
      </c>
    </row>
    <row r="57" spans="2:5" x14ac:dyDescent="0.3">
      <c r="B57" s="11" t="s">
        <v>93</v>
      </c>
      <c r="C57" s="11" t="s">
        <v>94</v>
      </c>
      <c r="D57" s="11" t="s">
        <v>18</v>
      </c>
      <c r="E57" s="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1"/>
  <sheetViews>
    <sheetView zoomScale="79" workbookViewId="0">
      <pane xSplit="3" ySplit="10" topLeftCell="D403" activePane="bottomRight" state="frozen"/>
      <selection pane="topRight"/>
      <selection pane="bottomLeft"/>
      <selection pane="bottomRight" activeCell="D12" sqref="D12"/>
    </sheetView>
  </sheetViews>
  <sheetFormatPr defaultRowHeight="11.4" customHeight="1" x14ac:dyDescent="0.3"/>
  <cols>
    <col min="1" max="2" width="16.88671875" customWidth="1"/>
    <col min="3" max="3" width="29.88671875" customWidth="1"/>
    <col min="4" max="4" width="14" customWidth="1"/>
    <col min="5" max="5" width="14.88671875" customWidth="1"/>
    <col min="6" max="6" width="14" customWidth="1"/>
    <col min="7" max="7" width="14.88671875" customWidth="1"/>
    <col min="8" max="8" width="14" customWidth="1"/>
    <col min="12" max="16" width="9.33203125" style="16" customWidth="1"/>
  </cols>
  <sheetData>
    <row r="1" spans="1:17" x14ac:dyDescent="0.3">
      <c r="A1" s="2" t="s">
        <v>95</v>
      </c>
      <c r="J1" t="s">
        <v>127</v>
      </c>
    </row>
    <row r="2" spans="1:17" x14ac:dyDescent="0.3">
      <c r="A2" s="2" t="s">
        <v>96</v>
      </c>
      <c r="B2" s="1" t="s">
        <v>0</v>
      </c>
      <c r="J2" t="s">
        <v>128</v>
      </c>
    </row>
    <row r="3" spans="1:17" x14ac:dyDescent="0.3">
      <c r="A3" s="2" t="s">
        <v>97</v>
      </c>
      <c r="B3" s="2" t="s">
        <v>6</v>
      </c>
    </row>
    <row r="4" spans="1:17" x14ac:dyDescent="0.3"/>
    <row r="5" spans="1:17" x14ac:dyDescent="0.3">
      <c r="A5" s="1" t="s">
        <v>12</v>
      </c>
      <c r="C5" s="2" t="s">
        <v>16</v>
      </c>
    </row>
    <row r="6" spans="1:17" x14ac:dyDescent="0.3">
      <c r="A6" s="1" t="s">
        <v>13</v>
      </c>
      <c r="C6" s="2" t="s">
        <v>17</v>
      </c>
      <c r="L6" s="16" t="s">
        <v>59</v>
      </c>
    </row>
    <row r="7" spans="1:17" x14ac:dyDescent="0.3">
      <c r="A7" s="1" t="s">
        <v>14</v>
      </c>
      <c r="C7" s="2" t="s">
        <v>18</v>
      </c>
    </row>
    <row r="8" spans="1:17" x14ac:dyDescent="0.3"/>
    <row r="9" spans="1:17" x14ac:dyDescent="0.3">
      <c r="A9" s="21" t="s">
        <v>98</v>
      </c>
      <c r="B9" s="21" t="s">
        <v>98</v>
      </c>
      <c r="C9" s="21" t="s">
        <v>98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J9" s="17" t="s">
        <v>117</v>
      </c>
    </row>
    <row r="10" spans="1:17" x14ac:dyDescent="0.3">
      <c r="A10" s="4" t="s">
        <v>99</v>
      </c>
      <c r="B10" s="4" t="s">
        <v>100</v>
      </c>
      <c r="C10" s="4" t="s">
        <v>101</v>
      </c>
      <c r="D10" s="6" t="s">
        <v>22</v>
      </c>
      <c r="E10" s="6" t="s">
        <v>22</v>
      </c>
      <c r="F10" s="6" t="s">
        <v>22</v>
      </c>
      <c r="G10" s="6" t="s">
        <v>22</v>
      </c>
      <c r="H10" s="6" t="s">
        <v>22</v>
      </c>
      <c r="L10" s="16" t="s">
        <v>120</v>
      </c>
      <c r="M10" s="16" t="s">
        <v>121</v>
      </c>
      <c r="N10" s="16" t="s">
        <v>122</v>
      </c>
      <c r="O10" s="16" t="s">
        <v>123</v>
      </c>
      <c r="P10" s="16" t="s">
        <v>124</v>
      </c>
    </row>
    <row r="11" spans="1:17" x14ac:dyDescent="0.3">
      <c r="A11" s="5" t="s">
        <v>59</v>
      </c>
      <c r="B11" s="5" t="s">
        <v>34</v>
      </c>
      <c r="C11" s="5" t="s">
        <v>35</v>
      </c>
      <c r="D11" s="7">
        <v>134</v>
      </c>
      <c r="E11" s="7">
        <v>126</v>
      </c>
      <c r="F11" s="7">
        <v>130</v>
      </c>
      <c r="G11" s="7">
        <v>127</v>
      </c>
      <c r="H11" s="7">
        <v>128</v>
      </c>
      <c r="J11" t="str">
        <f>A11</f>
        <v>Belgium</v>
      </c>
      <c r="K11" t="s">
        <v>105</v>
      </c>
      <c r="L11" s="16">
        <f>D11/(SUM($D11:$H11))</f>
        <v>0.20775193798449612</v>
      </c>
      <c r="M11" s="16">
        <f t="shared" ref="M11:P11" si="0">E11/(SUM($D11:$H11))</f>
        <v>0.19534883720930232</v>
      </c>
      <c r="N11" s="16">
        <f t="shared" si="0"/>
        <v>0.20155038759689922</v>
      </c>
      <c r="O11" s="16">
        <f t="shared" si="0"/>
        <v>0.19689922480620156</v>
      </c>
      <c r="P11" s="16">
        <f t="shared" si="0"/>
        <v>0.19844961240310077</v>
      </c>
      <c r="Q11" s="18"/>
    </row>
    <row r="12" spans="1:17" x14ac:dyDescent="0.3">
      <c r="A12" s="5" t="s">
        <v>59</v>
      </c>
      <c r="B12" s="5" t="s">
        <v>36</v>
      </c>
      <c r="C12" s="5" t="s">
        <v>37</v>
      </c>
      <c r="D12" s="8">
        <v>29</v>
      </c>
      <c r="E12" s="8">
        <v>22</v>
      </c>
      <c r="F12" s="8">
        <v>21</v>
      </c>
      <c r="G12" s="8">
        <v>20</v>
      </c>
      <c r="H12" s="8">
        <v>17</v>
      </c>
      <c r="J12" t="str">
        <f t="shared" ref="J12:J75" si="1">A12</f>
        <v>Belgium</v>
      </c>
      <c r="K12" t="s">
        <v>106</v>
      </c>
      <c r="L12" s="16">
        <f t="shared" ref="L12:L17" si="2">D12/(SUM($D12:$H12))</f>
        <v>0.26605504587155965</v>
      </c>
      <c r="M12" s="16">
        <f t="shared" ref="M12:M17" si="3">E12/(SUM($D12:$H12))</f>
        <v>0.20183486238532111</v>
      </c>
      <c r="N12" s="16">
        <f t="shared" ref="N12:N17" si="4">F12/(SUM($D12:$H12))</f>
        <v>0.19266055045871561</v>
      </c>
      <c r="O12" s="16">
        <f t="shared" ref="O12:O17" si="5">G12/(SUM($D12:$H12))</f>
        <v>0.1834862385321101</v>
      </c>
      <c r="P12" s="16">
        <f t="shared" ref="P12:P17" si="6">H12/(SUM($D12:$H12))</f>
        <v>0.15596330275229359</v>
      </c>
      <c r="Q12" s="18"/>
    </row>
    <row r="13" spans="1:17" x14ac:dyDescent="0.3">
      <c r="A13" s="5" t="s">
        <v>59</v>
      </c>
      <c r="B13" s="5" t="s">
        <v>38</v>
      </c>
      <c r="C13" s="5" t="s">
        <v>39</v>
      </c>
      <c r="D13" s="7">
        <v>32</v>
      </c>
      <c r="E13" s="7">
        <v>32</v>
      </c>
      <c r="F13" s="7">
        <v>40</v>
      </c>
      <c r="G13" s="7">
        <v>46</v>
      </c>
      <c r="H13" s="7">
        <v>56</v>
      </c>
      <c r="J13" t="str">
        <f t="shared" si="1"/>
        <v>Belgium</v>
      </c>
      <c r="K13" t="s">
        <v>107</v>
      </c>
      <c r="L13" s="16">
        <f t="shared" si="2"/>
        <v>0.1553398058252427</v>
      </c>
      <c r="M13" s="16">
        <f t="shared" si="3"/>
        <v>0.1553398058252427</v>
      </c>
      <c r="N13" s="16">
        <f t="shared" si="4"/>
        <v>0.1941747572815534</v>
      </c>
      <c r="O13" s="16">
        <f t="shared" si="5"/>
        <v>0.22330097087378642</v>
      </c>
      <c r="P13" s="16">
        <f t="shared" si="6"/>
        <v>0.27184466019417475</v>
      </c>
      <c r="Q13" s="18"/>
    </row>
    <row r="14" spans="1:17" x14ac:dyDescent="0.3">
      <c r="A14" s="5" t="s">
        <v>59</v>
      </c>
      <c r="B14" s="5" t="s">
        <v>40</v>
      </c>
      <c r="C14" s="5" t="s">
        <v>41</v>
      </c>
      <c r="D14" s="8">
        <v>410</v>
      </c>
      <c r="E14" s="8">
        <v>347</v>
      </c>
      <c r="F14" s="8">
        <v>305</v>
      </c>
      <c r="G14" s="8">
        <v>254</v>
      </c>
      <c r="H14" s="8">
        <v>234</v>
      </c>
      <c r="J14" t="str">
        <f t="shared" si="1"/>
        <v>Belgium</v>
      </c>
      <c r="K14" t="s">
        <v>108</v>
      </c>
      <c r="L14" s="16">
        <f t="shared" si="2"/>
        <v>0.26451612903225807</v>
      </c>
      <c r="M14" s="16">
        <f t="shared" si="3"/>
        <v>0.22387096774193549</v>
      </c>
      <c r="N14" s="16">
        <f t="shared" si="4"/>
        <v>0.1967741935483871</v>
      </c>
      <c r="O14" s="16">
        <f t="shared" si="5"/>
        <v>0.16387096774193549</v>
      </c>
      <c r="P14" s="16">
        <f t="shared" si="6"/>
        <v>0.15096774193548387</v>
      </c>
      <c r="Q14" s="18"/>
    </row>
    <row r="15" spans="1:17" x14ac:dyDescent="0.3">
      <c r="A15" s="5" t="s">
        <v>59</v>
      </c>
      <c r="B15" s="5" t="s">
        <v>42</v>
      </c>
      <c r="C15" s="5" t="s">
        <v>43</v>
      </c>
      <c r="D15" s="7">
        <v>36</v>
      </c>
      <c r="E15" s="7">
        <v>40</v>
      </c>
      <c r="F15" s="7">
        <v>52</v>
      </c>
      <c r="G15" s="7">
        <v>67</v>
      </c>
      <c r="H15" s="7">
        <v>70</v>
      </c>
      <c r="J15" t="str">
        <f t="shared" si="1"/>
        <v>Belgium</v>
      </c>
      <c r="K15" t="s">
        <v>109</v>
      </c>
      <c r="L15" s="16">
        <f t="shared" si="2"/>
        <v>0.13584905660377358</v>
      </c>
      <c r="M15" s="16">
        <f t="shared" si="3"/>
        <v>0.15094339622641509</v>
      </c>
      <c r="N15" s="16">
        <f t="shared" si="4"/>
        <v>0.19622641509433963</v>
      </c>
      <c r="O15" s="16">
        <f t="shared" si="5"/>
        <v>0.25283018867924528</v>
      </c>
      <c r="P15" s="16">
        <f t="shared" si="6"/>
        <v>0.26415094339622641</v>
      </c>
      <c r="Q15" s="18"/>
    </row>
    <row r="16" spans="1:17" x14ac:dyDescent="0.3">
      <c r="A16" s="5" t="s">
        <v>59</v>
      </c>
      <c r="B16" s="5" t="s">
        <v>44</v>
      </c>
      <c r="C16" s="5" t="s">
        <v>45</v>
      </c>
      <c r="D16" s="8">
        <v>48</v>
      </c>
      <c r="E16" s="8">
        <v>50</v>
      </c>
      <c r="F16" s="8">
        <v>51</v>
      </c>
      <c r="G16" s="8">
        <v>44</v>
      </c>
      <c r="H16" s="8">
        <v>41</v>
      </c>
      <c r="J16" t="str">
        <f t="shared" si="1"/>
        <v>Belgium</v>
      </c>
      <c r="K16" t="s">
        <v>110</v>
      </c>
      <c r="L16" s="16">
        <f t="shared" si="2"/>
        <v>0.20512820512820512</v>
      </c>
      <c r="M16" s="16">
        <f t="shared" si="3"/>
        <v>0.21367521367521367</v>
      </c>
      <c r="N16" s="16">
        <f t="shared" si="4"/>
        <v>0.21794871794871795</v>
      </c>
      <c r="O16" s="16">
        <f t="shared" si="5"/>
        <v>0.18803418803418803</v>
      </c>
      <c r="P16" s="16">
        <f t="shared" si="6"/>
        <v>0.1752136752136752</v>
      </c>
      <c r="Q16" s="18"/>
    </row>
    <row r="17" spans="1:17" x14ac:dyDescent="0.3">
      <c r="A17" s="5" t="s">
        <v>59</v>
      </c>
      <c r="B17" s="5" t="s">
        <v>46</v>
      </c>
      <c r="C17" s="5" t="s">
        <v>47</v>
      </c>
      <c r="D17" s="7">
        <v>79</v>
      </c>
      <c r="E17" s="7">
        <v>120</v>
      </c>
      <c r="F17" s="7">
        <v>113</v>
      </c>
      <c r="G17" s="7">
        <v>147</v>
      </c>
      <c r="H17" s="7">
        <v>150</v>
      </c>
      <c r="J17" t="str">
        <f t="shared" si="1"/>
        <v>Belgium</v>
      </c>
      <c r="K17" t="s">
        <v>111</v>
      </c>
      <c r="L17" s="16">
        <f t="shared" si="2"/>
        <v>0.1297208538587849</v>
      </c>
      <c r="M17" s="16">
        <f t="shared" si="3"/>
        <v>0.19704433497536947</v>
      </c>
      <c r="N17" s="16">
        <f t="shared" si="4"/>
        <v>0.18555008210180624</v>
      </c>
      <c r="O17" s="16">
        <f t="shared" si="5"/>
        <v>0.2413793103448276</v>
      </c>
      <c r="P17" s="16">
        <f t="shared" si="6"/>
        <v>0.24630541871921183</v>
      </c>
      <c r="Q17" s="18"/>
    </row>
    <row r="18" spans="1:17" x14ac:dyDescent="0.3">
      <c r="A18" s="5" t="s">
        <v>59</v>
      </c>
      <c r="B18" s="5" t="s">
        <v>48</v>
      </c>
      <c r="C18" s="5" t="s">
        <v>49</v>
      </c>
      <c r="D18" s="8">
        <v>42</v>
      </c>
      <c r="E18" s="8">
        <v>35</v>
      </c>
      <c r="F18" s="8">
        <v>32</v>
      </c>
      <c r="G18" s="8">
        <v>27</v>
      </c>
      <c r="H18" s="8">
        <v>24</v>
      </c>
      <c r="J18" t="str">
        <f t="shared" si="1"/>
        <v>Belgium</v>
      </c>
      <c r="K18" t="s">
        <v>112</v>
      </c>
      <c r="L18" s="16">
        <f t="shared" ref="L18:L81" si="7">D18/(SUM($D18:$H18))</f>
        <v>0.26250000000000001</v>
      </c>
      <c r="M18" s="16">
        <f t="shared" ref="M18:M81" si="8">E18/(SUM($D18:$H18))</f>
        <v>0.21875</v>
      </c>
      <c r="N18" s="16">
        <f t="shared" ref="N18:N81" si="9">F18/(SUM($D18:$H18))</f>
        <v>0.2</v>
      </c>
      <c r="O18" s="16">
        <f t="shared" ref="O18:O81" si="10">G18/(SUM($D18:$H18))</f>
        <v>0.16875000000000001</v>
      </c>
      <c r="P18" s="16">
        <f t="shared" ref="P18:P81" si="11">H18/(SUM($D18:$H18))</f>
        <v>0.15</v>
      </c>
      <c r="Q18" s="18"/>
    </row>
    <row r="19" spans="1:17" x14ac:dyDescent="0.3">
      <c r="A19" s="5" t="s">
        <v>59</v>
      </c>
      <c r="B19" s="5" t="s">
        <v>50</v>
      </c>
      <c r="C19" s="5" t="s">
        <v>51</v>
      </c>
      <c r="D19" s="7">
        <v>57</v>
      </c>
      <c r="E19" s="7">
        <v>71</v>
      </c>
      <c r="F19" s="7">
        <v>88</v>
      </c>
      <c r="G19" s="7">
        <v>84</v>
      </c>
      <c r="H19" s="7">
        <v>90</v>
      </c>
      <c r="J19" t="str">
        <f t="shared" si="1"/>
        <v>Belgium</v>
      </c>
      <c r="K19" t="s">
        <v>113</v>
      </c>
      <c r="L19" s="16">
        <f t="shared" si="7"/>
        <v>0.14615384615384616</v>
      </c>
      <c r="M19" s="16">
        <f t="shared" si="8"/>
        <v>0.18205128205128204</v>
      </c>
      <c r="N19" s="16">
        <f t="shared" si="9"/>
        <v>0.22564102564102564</v>
      </c>
      <c r="O19" s="16">
        <f t="shared" si="10"/>
        <v>0.2153846153846154</v>
      </c>
      <c r="P19" s="16">
        <f t="shared" si="11"/>
        <v>0.23076923076923078</v>
      </c>
      <c r="Q19" s="18"/>
    </row>
    <row r="20" spans="1:17" x14ac:dyDescent="0.3">
      <c r="A20" s="5" t="s">
        <v>59</v>
      </c>
      <c r="B20" s="5" t="s">
        <v>52</v>
      </c>
      <c r="C20" s="5" t="s">
        <v>53</v>
      </c>
      <c r="D20" s="8">
        <v>4</v>
      </c>
      <c r="E20" s="8">
        <v>3</v>
      </c>
      <c r="F20" s="8">
        <v>3</v>
      </c>
      <c r="G20" s="8">
        <v>5</v>
      </c>
      <c r="H20" s="8">
        <v>8</v>
      </c>
      <c r="J20" t="str">
        <f t="shared" si="1"/>
        <v>Belgium</v>
      </c>
      <c r="K20" t="s">
        <v>114</v>
      </c>
      <c r="L20" s="16">
        <f t="shared" si="7"/>
        <v>0.17391304347826086</v>
      </c>
      <c r="M20" s="16">
        <f t="shared" si="8"/>
        <v>0.13043478260869565</v>
      </c>
      <c r="N20" s="16">
        <f t="shared" si="9"/>
        <v>0.13043478260869565</v>
      </c>
      <c r="O20" s="16">
        <f t="shared" si="10"/>
        <v>0.21739130434782608</v>
      </c>
      <c r="P20" s="16">
        <f t="shared" si="11"/>
        <v>0.34782608695652173</v>
      </c>
      <c r="Q20" s="18"/>
    </row>
    <row r="21" spans="1:17" x14ac:dyDescent="0.3">
      <c r="A21" s="5" t="s">
        <v>59</v>
      </c>
      <c r="B21" s="5" t="s">
        <v>54</v>
      </c>
      <c r="C21" s="5" t="s">
        <v>55</v>
      </c>
      <c r="D21" s="7">
        <v>38</v>
      </c>
      <c r="E21" s="7">
        <v>49</v>
      </c>
      <c r="F21" s="7">
        <v>61</v>
      </c>
      <c r="G21" s="7">
        <v>68</v>
      </c>
      <c r="H21" s="7">
        <v>74</v>
      </c>
      <c r="J21" t="str">
        <f t="shared" si="1"/>
        <v>Belgium</v>
      </c>
      <c r="K21" t="s">
        <v>115</v>
      </c>
      <c r="L21" s="16">
        <f t="shared" si="7"/>
        <v>0.1310344827586207</v>
      </c>
      <c r="M21" s="16">
        <f t="shared" si="8"/>
        <v>0.16896551724137931</v>
      </c>
      <c r="N21" s="16">
        <f t="shared" si="9"/>
        <v>0.2103448275862069</v>
      </c>
      <c r="O21" s="16">
        <f t="shared" si="10"/>
        <v>0.23448275862068965</v>
      </c>
      <c r="P21" s="16">
        <f t="shared" si="11"/>
        <v>0.25517241379310346</v>
      </c>
      <c r="Q21" s="18"/>
    </row>
    <row r="22" spans="1:17" x14ac:dyDescent="0.3">
      <c r="A22" s="5" t="s">
        <v>59</v>
      </c>
      <c r="B22" s="5" t="s">
        <v>56</v>
      </c>
      <c r="C22" s="5" t="s">
        <v>57</v>
      </c>
      <c r="D22" s="8">
        <v>92</v>
      </c>
      <c r="E22" s="8">
        <v>104</v>
      </c>
      <c r="F22" s="8">
        <v>105</v>
      </c>
      <c r="G22" s="8">
        <v>110</v>
      </c>
      <c r="H22" s="8">
        <v>109</v>
      </c>
      <c r="J22" t="str">
        <f t="shared" si="1"/>
        <v>Belgium</v>
      </c>
      <c r="K22" t="s">
        <v>116</v>
      </c>
      <c r="L22" s="16">
        <f t="shared" si="7"/>
        <v>0.17692307692307693</v>
      </c>
      <c r="M22" s="16">
        <f t="shared" si="8"/>
        <v>0.2</v>
      </c>
      <c r="N22" s="16">
        <f t="shared" si="9"/>
        <v>0.20192307692307693</v>
      </c>
      <c r="O22" s="16">
        <f t="shared" si="10"/>
        <v>0.21153846153846154</v>
      </c>
      <c r="P22" s="16">
        <f t="shared" si="11"/>
        <v>0.20961538461538462</v>
      </c>
      <c r="Q22" s="18"/>
    </row>
    <row r="23" spans="1:17" x14ac:dyDescent="0.3">
      <c r="A23" s="5" t="s">
        <v>60</v>
      </c>
      <c r="B23" s="5" t="s">
        <v>34</v>
      </c>
      <c r="C23" s="5" t="s">
        <v>35</v>
      </c>
      <c r="D23" s="7">
        <v>352</v>
      </c>
      <c r="E23" s="7">
        <v>315</v>
      </c>
      <c r="F23" s="7">
        <v>290</v>
      </c>
      <c r="G23" s="7">
        <v>261</v>
      </c>
      <c r="H23" s="7">
        <v>219</v>
      </c>
      <c r="J23" t="str">
        <f t="shared" si="1"/>
        <v>Bulgaria</v>
      </c>
      <c r="K23" t="s">
        <v>105</v>
      </c>
      <c r="L23" s="16">
        <f t="shared" si="7"/>
        <v>0.24495476687543494</v>
      </c>
      <c r="M23" s="16">
        <f t="shared" si="8"/>
        <v>0.21920668058455114</v>
      </c>
      <c r="N23" s="16">
        <f t="shared" si="9"/>
        <v>0.20180932498260265</v>
      </c>
      <c r="O23" s="16">
        <f t="shared" si="10"/>
        <v>0.18162839248434237</v>
      </c>
      <c r="P23" s="16">
        <f t="shared" si="11"/>
        <v>0.1524008350730689</v>
      </c>
      <c r="Q23" s="18"/>
    </row>
    <row r="24" spans="1:17" x14ac:dyDescent="0.3">
      <c r="A24" s="5" t="s">
        <v>60</v>
      </c>
      <c r="B24" s="5" t="s">
        <v>36</v>
      </c>
      <c r="C24" s="5" t="s">
        <v>37</v>
      </c>
      <c r="D24" s="8">
        <v>24</v>
      </c>
      <c r="E24" s="8">
        <v>34</v>
      </c>
      <c r="F24" s="8">
        <v>42</v>
      </c>
      <c r="G24" s="8">
        <v>43</v>
      </c>
      <c r="H24" s="8">
        <v>48</v>
      </c>
      <c r="J24" t="str">
        <f t="shared" si="1"/>
        <v>Bulgaria</v>
      </c>
      <c r="K24" t="s">
        <v>106</v>
      </c>
      <c r="L24" s="16">
        <f t="shared" si="7"/>
        <v>0.1256544502617801</v>
      </c>
      <c r="M24" s="16">
        <f t="shared" si="8"/>
        <v>0.17801047120418848</v>
      </c>
      <c r="N24" s="16">
        <f t="shared" si="9"/>
        <v>0.21989528795811519</v>
      </c>
      <c r="O24" s="16">
        <f t="shared" si="10"/>
        <v>0.22513089005235601</v>
      </c>
      <c r="P24" s="16">
        <f t="shared" si="11"/>
        <v>0.2513089005235602</v>
      </c>
      <c r="Q24" s="18"/>
    </row>
    <row r="25" spans="1:17" x14ac:dyDescent="0.3">
      <c r="A25" s="5" t="s">
        <v>60</v>
      </c>
      <c r="B25" s="5" t="s">
        <v>38</v>
      </c>
      <c r="C25" s="5" t="s">
        <v>39</v>
      </c>
      <c r="D25" s="7">
        <v>15</v>
      </c>
      <c r="E25" s="7">
        <v>22</v>
      </c>
      <c r="F25" s="7">
        <v>28</v>
      </c>
      <c r="G25" s="7">
        <v>36</v>
      </c>
      <c r="H25" s="7">
        <v>46</v>
      </c>
      <c r="J25" t="str">
        <f t="shared" si="1"/>
        <v>Bulgaria</v>
      </c>
      <c r="K25" t="s">
        <v>107</v>
      </c>
      <c r="L25" s="16">
        <f t="shared" si="7"/>
        <v>0.10204081632653061</v>
      </c>
      <c r="M25" s="16">
        <f t="shared" si="8"/>
        <v>0.14965986394557823</v>
      </c>
      <c r="N25" s="16">
        <f t="shared" si="9"/>
        <v>0.19047619047619047</v>
      </c>
      <c r="O25" s="16">
        <f t="shared" si="10"/>
        <v>0.24489795918367346</v>
      </c>
      <c r="P25" s="16">
        <f t="shared" si="11"/>
        <v>0.31292517006802723</v>
      </c>
    </row>
    <row r="26" spans="1:17" x14ac:dyDescent="0.3">
      <c r="A26" s="5" t="s">
        <v>60</v>
      </c>
      <c r="B26" s="5" t="s">
        <v>40</v>
      </c>
      <c r="C26" s="5" t="s">
        <v>41</v>
      </c>
      <c r="D26" s="8">
        <v>397</v>
      </c>
      <c r="E26" s="8">
        <v>387</v>
      </c>
      <c r="F26" s="8">
        <v>361</v>
      </c>
      <c r="G26" s="8">
        <v>325</v>
      </c>
      <c r="H26" s="8">
        <v>286</v>
      </c>
      <c r="J26" t="str">
        <f t="shared" si="1"/>
        <v>Bulgaria</v>
      </c>
      <c r="K26" t="s">
        <v>108</v>
      </c>
      <c r="L26" s="16">
        <f t="shared" si="7"/>
        <v>0.22608200455580865</v>
      </c>
      <c r="M26" s="16">
        <f t="shared" si="8"/>
        <v>0.2203872437357631</v>
      </c>
      <c r="N26" s="16">
        <f t="shared" si="9"/>
        <v>0.20558086560364464</v>
      </c>
      <c r="O26" s="16">
        <f t="shared" si="10"/>
        <v>0.18507972665148065</v>
      </c>
      <c r="P26" s="16">
        <f t="shared" si="11"/>
        <v>0.16287015945330297</v>
      </c>
    </row>
    <row r="27" spans="1:17" x14ac:dyDescent="0.3">
      <c r="A27" s="5" t="s">
        <v>60</v>
      </c>
      <c r="B27" s="5" t="s">
        <v>42</v>
      </c>
      <c r="C27" s="5" t="s">
        <v>43</v>
      </c>
      <c r="D27" s="7">
        <v>27</v>
      </c>
      <c r="E27" s="7">
        <v>31</v>
      </c>
      <c r="F27" s="7">
        <v>30</v>
      </c>
      <c r="G27" s="7">
        <v>38</v>
      </c>
      <c r="H27" s="7">
        <v>43</v>
      </c>
      <c r="J27" t="str">
        <f t="shared" si="1"/>
        <v>Bulgaria</v>
      </c>
      <c r="K27" t="s">
        <v>109</v>
      </c>
      <c r="L27" s="16">
        <f t="shared" si="7"/>
        <v>0.15976331360946747</v>
      </c>
      <c r="M27" s="16">
        <f t="shared" si="8"/>
        <v>0.18343195266272189</v>
      </c>
      <c r="N27" s="16">
        <f t="shared" si="9"/>
        <v>0.17751479289940827</v>
      </c>
      <c r="O27" s="16">
        <f t="shared" si="10"/>
        <v>0.22485207100591717</v>
      </c>
      <c r="P27" s="16">
        <f t="shared" si="11"/>
        <v>0.25443786982248523</v>
      </c>
    </row>
    <row r="28" spans="1:17" x14ac:dyDescent="0.3">
      <c r="A28" s="5" t="s">
        <v>60</v>
      </c>
      <c r="B28" s="5" t="s">
        <v>44</v>
      </c>
      <c r="C28" s="5" t="s">
        <v>45</v>
      </c>
      <c r="D28" s="8">
        <v>79</v>
      </c>
      <c r="E28" s="8">
        <v>65</v>
      </c>
      <c r="F28" s="8">
        <v>57</v>
      </c>
      <c r="G28" s="8">
        <v>45</v>
      </c>
      <c r="H28" s="8">
        <v>38</v>
      </c>
      <c r="J28" t="str">
        <f t="shared" si="1"/>
        <v>Bulgaria</v>
      </c>
      <c r="K28" t="s">
        <v>110</v>
      </c>
      <c r="L28" s="16">
        <f t="shared" si="7"/>
        <v>0.27816901408450706</v>
      </c>
      <c r="M28" s="16">
        <f t="shared" si="8"/>
        <v>0.22887323943661972</v>
      </c>
      <c r="N28" s="16">
        <f t="shared" si="9"/>
        <v>0.20070422535211269</v>
      </c>
      <c r="O28" s="16">
        <f t="shared" si="10"/>
        <v>0.15845070422535212</v>
      </c>
      <c r="P28" s="16">
        <f t="shared" si="11"/>
        <v>0.13380281690140844</v>
      </c>
    </row>
    <row r="29" spans="1:17" x14ac:dyDescent="0.3">
      <c r="A29" s="5" t="s">
        <v>60</v>
      </c>
      <c r="B29" s="5" t="s">
        <v>46</v>
      </c>
      <c r="C29" s="5" t="s">
        <v>47</v>
      </c>
      <c r="D29" s="7">
        <v>17</v>
      </c>
      <c r="E29" s="7">
        <v>37</v>
      </c>
      <c r="F29" s="7">
        <v>57</v>
      </c>
      <c r="G29" s="7">
        <v>78</v>
      </c>
      <c r="H29" s="7">
        <v>92</v>
      </c>
      <c r="J29" t="str">
        <f t="shared" si="1"/>
        <v>Bulgaria</v>
      </c>
      <c r="K29" t="s">
        <v>111</v>
      </c>
      <c r="L29" s="16">
        <f t="shared" si="7"/>
        <v>6.0498220640569395E-2</v>
      </c>
      <c r="M29" s="16">
        <f t="shared" si="8"/>
        <v>0.13167259786476868</v>
      </c>
      <c r="N29" s="16">
        <f t="shared" si="9"/>
        <v>0.20284697508896798</v>
      </c>
      <c r="O29" s="16">
        <f t="shared" si="10"/>
        <v>0.27758007117437722</v>
      </c>
      <c r="P29" s="16">
        <f t="shared" si="11"/>
        <v>0.32740213523131673</v>
      </c>
    </row>
    <row r="30" spans="1:17" x14ac:dyDescent="0.3">
      <c r="A30" s="5" t="s">
        <v>60</v>
      </c>
      <c r="B30" s="5" t="s">
        <v>48</v>
      </c>
      <c r="C30" s="5" t="s">
        <v>49</v>
      </c>
      <c r="D30" s="8">
        <v>32</v>
      </c>
      <c r="E30" s="8">
        <v>37</v>
      </c>
      <c r="F30" s="8">
        <v>43</v>
      </c>
      <c r="G30" s="8">
        <v>46</v>
      </c>
      <c r="H30" s="8">
        <v>42</v>
      </c>
      <c r="J30" t="str">
        <f t="shared" si="1"/>
        <v>Bulgaria</v>
      </c>
      <c r="K30" t="s">
        <v>112</v>
      </c>
      <c r="L30" s="16">
        <f t="shared" si="7"/>
        <v>0.16</v>
      </c>
      <c r="M30" s="16">
        <f t="shared" si="8"/>
        <v>0.185</v>
      </c>
      <c r="N30" s="16">
        <f t="shared" si="9"/>
        <v>0.215</v>
      </c>
      <c r="O30" s="16">
        <f t="shared" si="10"/>
        <v>0.23</v>
      </c>
      <c r="P30" s="16">
        <f t="shared" si="11"/>
        <v>0.21</v>
      </c>
    </row>
    <row r="31" spans="1:17" x14ac:dyDescent="0.3">
      <c r="A31" s="5" t="s">
        <v>60</v>
      </c>
      <c r="B31" s="5" t="s">
        <v>50</v>
      </c>
      <c r="C31" s="5" t="s">
        <v>51</v>
      </c>
      <c r="D31" s="7">
        <v>20</v>
      </c>
      <c r="E31" s="7">
        <v>24</v>
      </c>
      <c r="F31" s="7">
        <v>29</v>
      </c>
      <c r="G31" s="7">
        <v>42</v>
      </c>
      <c r="H31" s="7">
        <v>60</v>
      </c>
      <c r="J31" t="str">
        <f t="shared" si="1"/>
        <v>Bulgaria</v>
      </c>
      <c r="K31" t="s">
        <v>113</v>
      </c>
      <c r="L31" s="16">
        <f t="shared" si="7"/>
        <v>0.11428571428571428</v>
      </c>
      <c r="M31" s="16">
        <f t="shared" si="8"/>
        <v>0.13714285714285715</v>
      </c>
      <c r="N31" s="16">
        <f t="shared" si="9"/>
        <v>0.1657142857142857</v>
      </c>
      <c r="O31" s="16">
        <f t="shared" si="10"/>
        <v>0.24</v>
      </c>
      <c r="P31" s="16">
        <f t="shared" si="11"/>
        <v>0.34285714285714286</v>
      </c>
    </row>
    <row r="32" spans="1:17" x14ac:dyDescent="0.3">
      <c r="A32" s="5" t="s">
        <v>60</v>
      </c>
      <c r="B32" s="5" t="s">
        <v>52</v>
      </c>
      <c r="C32" s="5" t="s">
        <v>53</v>
      </c>
      <c r="D32" s="8">
        <v>0</v>
      </c>
      <c r="E32" s="8">
        <v>1</v>
      </c>
      <c r="F32" s="8">
        <v>2</v>
      </c>
      <c r="G32" s="8">
        <v>5</v>
      </c>
      <c r="H32" s="8">
        <v>8</v>
      </c>
      <c r="J32" t="str">
        <f t="shared" si="1"/>
        <v>Bulgaria</v>
      </c>
      <c r="K32" t="s">
        <v>114</v>
      </c>
      <c r="L32" s="16">
        <f t="shared" si="7"/>
        <v>0</v>
      </c>
      <c r="M32" s="16">
        <f t="shared" si="8"/>
        <v>6.25E-2</v>
      </c>
      <c r="N32" s="16">
        <f t="shared" si="9"/>
        <v>0.125</v>
      </c>
      <c r="O32" s="16">
        <f t="shared" si="10"/>
        <v>0.3125</v>
      </c>
      <c r="P32" s="16">
        <f t="shared" si="11"/>
        <v>0.5</v>
      </c>
    </row>
    <row r="33" spans="1:16" x14ac:dyDescent="0.3">
      <c r="A33" s="5" t="s">
        <v>60</v>
      </c>
      <c r="B33" s="5" t="s">
        <v>54</v>
      </c>
      <c r="C33" s="5" t="s">
        <v>55</v>
      </c>
      <c r="D33" s="7">
        <v>12</v>
      </c>
      <c r="E33" s="7">
        <v>18</v>
      </c>
      <c r="F33" s="7">
        <v>27</v>
      </c>
      <c r="G33" s="7">
        <v>42</v>
      </c>
      <c r="H33" s="7">
        <v>67</v>
      </c>
      <c r="J33" t="str">
        <f t="shared" si="1"/>
        <v>Bulgaria</v>
      </c>
      <c r="K33" t="s">
        <v>115</v>
      </c>
      <c r="L33" s="16">
        <f t="shared" si="7"/>
        <v>7.2289156626506021E-2</v>
      </c>
      <c r="M33" s="16">
        <f t="shared" si="8"/>
        <v>0.10843373493975904</v>
      </c>
      <c r="N33" s="16">
        <f t="shared" si="9"/>
        <v>0.16265060240963855</v>
      </c>
      <c r="O33" s="16">
        <f t="shared" si="10"/>
        <v>0.25301204819277107</v>
      </c>
      <c r="P33" s="16">
        <f t="shared" si="11"/>
        <v>0.40361445783132532</v>
      </c>
    </row>
    <row r="34" spans="1:16" x14ac:dyDescent="0.3">
      <c r="A34" s="5" t="s">
        <v>60</v>
      </c>
      <c r="B34" s="5" t="s">
        <v>56</v>
      </c>
      <c r="C34" s="5" t="s">
        <v>57</v>
      </c>
      <c r="D34" s="8">
        <v>25</v>
      </c>
      <c r="E34" s="8">
        <v>30</v>
      </c>
      <c r="F34" s="8">
        <v>33</v>
      </c>
      <c r="G34" s="8">
        <v>38</v>
      </c>
      <c r="H34" s="8">
        <v>50</v>
      </c>
      <c r="J34" t="str">
        <f t="shared" si="1"/>
        <v>Bulgaria</v>
      </c>
      <c r="K34" t="s">
        <v>116</v>
      </c>
      <c r="L34" s="16">
        <f t="shared" si="7"/>
        <v>0.14204545454545456</v>
      </c>
      <c r="M34" s="16">
        <f t="shared" si="8"/>
        <v>0.17045454545454544</v>
      </c>
      <c r="N34" s="16">
        <f t="shared" si="9"/>
        <v>0.1875</v>
      </c>
      <c r="O34" s="16">
        <f t="shared" si="10"/>
        <v>0.21590909090909091</v>
      </c>
      <c r="P34" s="16">
        <f t="shared" si="11"/>
        <v>0.28409090909090912</v>
      </c>
    </row>
    <row r="35" spans="1:16" x14ac:dyDescent="0.3">
      <c r="A35" s="5" t="s">
        <v>61</v>
      </c>
      <c r="B35" s="5" t="s">
        <v>34</v>
      </c>
      <c r="C35" s="5" t="s">
        <v>35</v>
      </c>
      <c r="D35" s="7">
        <v>237</v>
      </c>
      <c r="E35" s="7">
        <v>232</v>
      </c>
      <c r="F35" s="7">
        <v>227</v>
      </c>
      <c r="G35" s="7">
        <v>208</v>
      </c>
      <c r="H35" s="7">
        <v>187</v>
      </c>
      <c r="J35" t="str">
        <f t="shared" si="1"/>
        <v>Czechia</v>
      </c>
      <c r="K35" t="s">
        <v>105</v>
      </c>
      <c r="L35" s="16">
        <f t="shared" si="7"/>
        <v>0.21723189734188816</v>
      </c>
      <c r="M35" s="16">
        <f t="shared" si="8"/>
        <v>0.21264894592117323</v>
      </c>
      <c r="N35" s="16">
        <f t="shared" si="9"/>
        <v>0.20806599450045829</v>
      </c>
      <c r="O35" s="16">
        <f t="shared" si="10"/>
        <v>0.19065077910174152</v>
      </c>
      <c r="P35" s="16">
        <f t="shared" si="11"/>
        <v>0.17140238313473877</v>
      </c>
    </row>
    <row r="36" spans="1:16" x14ac:dyDescent="0.3">
      <c r="A36" s="5" t="s">
        <v>61</v>
      </c>
      <c r="B36" s="5" t="s">
        <v>36</v>
      </c>
      <c r="C36" s="5" t="s">
        <v>37</v>
      </c>
      <c r="D36" s="8">
        <v>27</v>
      </c>
      <c r="E36" s="8">
        <v>34</v>
      </c>
      <c r="F36" s="8">
        <v>37</v>
      </c>
      <c r="G36" s="8">
        <v>32</v>
      </c>
      <c r="H36" s="8">
        <v>27</v>
      </c>
      <c r="J36" t="str">
        <f t="shared" si="1"/>
        <v>Czechia</v>
      </c>
      <c r="K36" t="s">
        <v>106</v>
      </c>
      <c r="L36" s="16">
        <f t="shared" si="7"/>
        <v>0.17197452229299362</v>
      </c>
      <c r="M36" s="16">
        <f t="shared" si="8"/>
        <v>0.21656050955414013</v>
      </c>
      <c r="N36" s="16">
        <f t="shared" si="9"/>
        <v>0.2356687898089172</v>
      </c>
      <c r="O36" s="16">
        <f t="shared" si="10"/>
        <v>0.20382165605095542</v>
      </c>
      <c r="P36" s="16">
        <f t="shared" si="11"/>
        <v>0.17197452229299362</v>
      </c>
    </row>
    <row r="37" spans="1:16" x14ac:dyDescent="0.3">
      <c r="A37" s="5" t="s">
        <v>61</v>
      </c>
      <c r="B37" s="5" t="s">
        <v>38</v>
      </c>
      <c r="C37" s="5" t="s">
        <v>39</v>
      </c>
      <c r="D37" s="7">
        <v>38</v>
      </c>
      <c r="E37" s="7">
        <v>42</v>
      </c>
      <c r="F37" s="7">
        <v>47</v>
      </c>
      <c r="G37" s="7">
        <v>59</v>
      </c>
      <c r="H37" s="7">
        <v>63</v>
      </c>
      <c r="J37" t="str">
        <f t="shared" si="1"/>
        <v>Czechia</v>
      </c>
      <c r="K37" t="s">
        <v>107</v>
      </c>
      <c r="L37" s="16">
        <f t="shared" si="7"/>
        <v>0.15261044176706828</v>
      </c>
      <c r="M37" s="16">
        <f t="shared" si="8"/>
        <v>0.16867469879518071</v>
      </c>
      <c r="N37" s="16">
        <f t="shared" si="9"/>
        <v>0.18875502008032127</v>
      </c>
      <c r="O37" s="16">
        <f t="shared" si="10"/>
        <v>0.23694779116465864</v>
      </c>
      <c r="P37" s="16">
        <f t="shared" si="11"/>
        <v>0.25301204819277107</v>
      </c>
    </row>
    <row r="38" spans="1:16" x14ac:dyDescent="0.3">
      <c r="A38" s="5" t="s">
        <v>61</v>
      </c>
      <c r="B38" s="5" t="s">
        <v>40</v>
      </c>
      <c r="C38" s="5" t="s">
        <v>41</v>
      </c>
      <c r="D38" s="8">
        <v>335</v>
      </c>
      <c r="E38" s="8">
        <v>284</v>
      </c>
      <c r="F38" s="8">
        <v>239</v>
      </c>
      <c r="G38" s="8">
        <v>200</v>
      </c>
      <c r="H38" s="8">
        <v>168</v>
      </c>
      <c r="J38" t="str">
        <f t="shared" si="1"/>
        <v>Czechia</v>
      </c>
      <c r="K38" t="s">
        <v>108</v>
      </c>
      <c r="L38" s="16">
        <f t="shared" si="7"/>
        <v>0.2732463295269168</v>
      </c>
      <c r="M38" s="16">
        <f t="shared" si="8"/>
        <v>0.23164763458401305</v>
      </c>
      <c r="N38" s="16">
        <f t="shared" si="9"/>
        <v>0.19494290375203915</v>
      </c>
      <c r="O38" s="16">
        <f t="shared" si="10"/>
        <v>0.16313213703099511</v>
      </c>
      <c r="P38" s="16">
        <f t="shared" si="11"/>
        <v>0.13703099510603589</v>
      </c>
    </row>
    <row r="39" spans="1:16" x14ac:dyDescent="0.3">
      <c r="A39" s="5" t="s">
        <v>61</v>
      </c>
      <c r="B39" s="5" t="s">
        <v>42</v>
      </c>
      <c r="C39" s="5" t="s">
        <v>43</v>
      </c>
      <c r="D39" s="7">
        <v>48</v>
      </c>
      <c r="E39" s="7">
        <v>56</v>
      </c>
      <c r="F39" s="7">
        <v>58</v>
      </c>
      <c r="G39" s="7">
        <v>64</v>
      </c>
      <c r="H39" s="7">
        <v>74</v>
      </c>
      <c r="J39" t="str">
        <f t="shared" si="1"/>
        <v>Czechia</v>
      </c>
      <c r="K39" t="s">
        <v>109</v>
      </c>
      <c r="L39" s="16">
        <f t="shared" si="7"/>
        <v>0.16</v>
      </c>
      <c r="M39" s="16">
        <f t="shared" si="8"/>
        <v>0.18666666666666668</v>
      </c>
      <c r="N39" s="16">
        <f t="shared" si="9"/>
        <v>0.19333333333333333</v>
      </c>
      <c r="O39" s="16">
        <f t="shared" si="10"/>
        <v>0.21333333333333335</v>
      </c>
      <c r="P39" s="16">
        <f t="shared" si="11"/>
        <v>0.24666666666666667</v>
      </c>
    </row>
    <row r="40" spans="1:16" x14ac:dyDescent="0.3">
      <c r="A40" s="5" t="s">
        <v>61</v>
      </c>
      <c r="B40" s="5" t="s">
        <v>44</v>
      </c>
      <c r="C40" s="5" t="s">
        <v>45</v>
      </c>
      <c r="D40" s="8">
        <v>34</v>
      </c>
      <c r="E40" s="8">
        <v>31</v>
      </c>
      <c r="F40" s="8">
        <v>31</v>
      </c>
      <c r="G40" s="8">
        <v>23</v>
      </c>
      <c r="H40" s="8">
        <v>25</v>
      </c>
      <c r="J40" t="str">
        <f t="shared" si="1"/>
        <v>Czechia</v>
      </c>
      <c r="K40" t="s">
        <v>110</v>
      </c>
      <c r="L40" s="16">
        <f t="shared" si="7"/>
        <v>0.2361111111111111</v>
      </c>
      <c r="M40" s="16">
        <f t="shared" si="8"/>
        <v>0.21527777777777779</v>
      </c>
      <c r="N40" s="16">
        <f t="shared" si="9"/>
        <v>0.21527777777777779</v>
      </c>
      <c r="O40" s="16">
        <f t="shared" si="10"/>
        <v>0.15972222222222221</v>
      </c>
      <c r="P40" s="16">
        <f t="shared" si="11"/>
        <v>0.1736111111111111</v>
      </c>
    </row>
    <row r="41" spans="1:16" x14ac:dyDescent="0.3">
      <c r="A41" s="5" t="s">
        <v>61</v>
      </c>
      <c r="B41" s="5" t="s">
        <v>46</v>
      </c>
      <c r="C41" s="5" t="s">
        <v>47</v>
      </c>
      <c r="D41" s="7">
        <v>46</v>
      </c>
      <c r="E41" s="7">
        <v>80</v>
      </c>
      <c r="F41" s="7">
        <v>104</v>
      </c>
      <c r="G41" s="7">
        <v>124</v>
      </c>
      <c r="H41" s="7">
        <v>137</v>
      </c>
      <c r="J41" t="str">
        <f t="shared" si="1"/>
        <v>Czechia</v>
      </c>
      <c r="K41" t="s">
        <v>111</v>
      </c>
      <c r="L41" s="16">
        <f t="shared" si="7"/>
        <v>9.368635437881874E-2</v>
      </c>
      <c r="M41" s="16">
        <f t="shared" si="8"/>
        <v>0.16293279022403259</v>
      </c>
      <c r="N41" s="16">
        <f t="shared" si="9"/>
        <v>0.21181262729124237</v>
      </c>
      <c r="O41" s="16">
        <f t="shared" si="10"/>
        <v>0.25254582484725052</v>
      </c>
      <c r="P41" s="16">
        <f t="shared" si="11"/>
        <v>0.27902240325865579</v>
      </c>
    </row>
    <row r="42" spans="1:16" x14ac:dyDescent="0.3">
      <c r="A42" s="5" t="s">
        <v>61</v>
      </c>
      <c r="B42" s="5" t="s">
        <v>48</v>
      </c>
      <c r="C42" s="5" t="s">
        <v>49</v>
      </c>
      <c r="D42" s="8">
        <v>46</v>
      </c>
      <c r="E42" s="8">
        <v>48</v>
      </c>
      <c r="F42" s="8">
        <v>45</v>
      </c>
      <c r="G42" s="8">
        <v>46</v>
      </c>
      <c r="H42" s="8">
        <v>41</v>
      </c>
      <c r="J42" t="str">
        <f t="shared" si="1"/>
        <v>Czechia</v>
      </c>
      <c r="K42" t="s">
        <v>112</v>
      </c>
      <c r="L42" s="16">
        <f t="shared" si="7"/>
        <v>0.20353982300884957</v>
      </c>
      <c r="M42" s="16">
        <f t="shared" si="8"/>
        <v>0.21238938053097345</v>
      </c>
      <c r="N42" s="16">
        <f t="shared" si="9"/>
        <v>0.19911504424778761</v>
      </c>
      <c r="O42" s="16">
        <f t="shared" si="10"/>
        <v>0.20353982300884957</v>
      </c>
      <c r="P42" s="16">
        <f t="shared" si="11"/>
        <v>0.18141592920353983</v>
      </c>
    </row>
    <row r="43" spans="1:16" x14ac:dyDescent="0.3">
      <c r="A43" s="5" t="s">
        <v>61</v>
      </c>
      <c r="B43" s="5" t="s">
        <v>50</v>
      </c>
      <c r="C43" s="5" t="s">
        <v>51</v>
      </c>
      <c r="D43" s="7">
        <v>81</v>
      </c>
      <c r="E43" s="7">
        <v>82</v>
      </c>
      <c r="F43" s="7">
        <v>94</v>
      </c>
      <c r="G43" s="7">
        <v>98</v>
      </c>
      <c r="H43" s="7">
        <v>116</v>
      </c>
      <c r="J43" t="str">
        <f t="shared" si="1"/>
        <v>Czechia</v>
      </c>
      <c r="K43" t="s">
        <v>113</v>
      </c>
      <c r="L43" s="16">
        <f t="shared" si="7"/>
        <v>0.17197452229299362</v>
      </c>
      <c r="M43" s="16">
        <f t="shared" si="8"/>
        <v>0.17409766454352441</v>
      </c>
      <c r="N43" s="16">
        <f t="shared" si="9"/>
        <v>0.19957537154989385</v>
      </c>
      <c r="O43" s="16">
        <f t="shared" si="10"/>
        <v>0.20806794055201699</v>
      </c>
      <c r="P43" s="16">
        <f t="shared" si="11"/>
        <v>0.24628450106157113</v>
      </c>
    </row>
    <row r="44" spans="1:16" x14ac:dyDescent="0.3">
      <c r="A44" s="5" t="s">
        <v>61</v>
      </c>
      <c r="B44" s="5" t="s">
        <v>52</v>
      </c>
      <c r="C44" s="5" t="s">
        <v>53</v>
      </c>
      <c r="D44" s="8">
        <v>2</v>
      </c>
      <c r="E44" s="8">
        <v>3</v>
      </c>
      <c r="F44" s="8">
        <v>3</v>
      </c>
      <c r="G44" s="8">
        <v>7</v>
      </c>
      <c r="H44" s="8">
        <v>10</v>
      </c>
      <c r="J44" t="str">
        <f t="shared" si="1"/>
        <v>Czechia</v>
      </c>
      <c r="K44" t="s">
        <v>114</v>
      </c>
      <c r="L44" s="16">
        <f t="shared" si="7"/>
        <v>0.08</v>
      </c>
      <c r="M44" s="16">
        <f t="shared" si="8"/>
        <v>0.12</v>
      </c>
      <c r="N44" s="16">
        <f t="shared" si="9"/>
        <v>0.12</v>
      </c>
      <c r="O44" s="16">
        <f t="shared" si="10"/>
        <v>0.28000000000000003</v>
      </c>
      <c r="P44" s="16">
        <f t="shared" si="11"/>
        <v>0.4</v>
      </c>
    </row>
    <row r="45" spans="1:16" x14ac:dyDescent="0.3">
      <c r="A45" s="5" t="s">
        <v>61</v>
      </c>
      <c r="B45" s="5" t="s">
        <v>54</v>
      </c>
      <c r="C45" s="5" t="s">
        <v>55</v>
      </c>
      <c r="D45" s="7">
        <v>40</v>
      </c>
      <c r="E45" s="7">
        <v>41</v>
      </c>
      <c r="F45" s="7">
        <v>46</v>
      </c>
      <c r="G45" s="7">
        <v>63</v>
      </c>
      <c r="H45" s="7">
        <v>78</v>
      </c>
      <c r="J45" t="str">
        <f t="shared" si="1"/>
        <v>Czechia</v>
      </c>
      <c r="K45" t="s">
        <v>115</v>
      </c>
      <c r="L45" s="16">
        <f t="shared" si="7"/>
        <v>0.14925373134328357</v>
      </c>
      <c r="M45" s="16">
        <f t="shared" si="8"/>
        <v>0.15298507462686567</v>
      </c>
      <c r="N45" s="16">
        <f t="shared" si="9"/>
        <v>0.17164179104477612</v>
      </c>
      <c r="O45" s="16">
        <f t="shared" si="10"/>
        <v>0.23507462686567165</v>
      </c>
      <c r="P45" s="16">
        <f t="shared" si="11"/>
        <v>0.29104477611940299</v>
      </c>
    </row>
    <row r="46" spans="1:16" x14ac:dyDescent="0.3">
      <c r="A46" s="5" t="s">
        <v>61</v>
      </c>
      <c r="B46" s="5" t="s">
        <v>56</v>
      </c>
      <c r="C46" s="5" t="s">
        <v>57</v>
      </c>
      <c r="D46" s="8">
        <v>67</v>
      </c>
      <c r="E46" s="8">
        <v>67</v>
      </c>
      <c r="F46" s="8">
        <v>70</v>
      </c>
      <c r="G46" s="8">
        <v>77</v>
      </c>
      <c r="H46" s="8">
        <v>75</v>
      </c>
      <c r="J46" t="str">
        <f t="shared" si="1"/>
        <v>Czechia</v>
      </c>
      <c r="K46" t="s">
        <v>116</v>
      </c>
      <c r="L46" s="16">
        <f t="shared" si="7"/>
        <v>0.18820224719101122</v>
      </c>
      <c r="M46" s="16">
        <f t="shared" si="8"/>
        <v>0.18820224719101122</v>
      </c>
      <c r="N46" s="16">
        <f t="shared" si="9"/>
        <v>0.19662921348314608</v>
      </c>
      <c r="O46" s="16">
        <f t="shared" si="10"/>
        <v>0.21629213483146068</v>
      </c>
      <c r="P46" s="16">
        <f t="shared" si="11"/>
        <v>0.21067415730337077</v>
      </c>
    </row>
    <row r="47" spans="1:16" x14ac:dyDescent="0.3">
      <c r="A47" s="5" t="s">
        <v>62</v>
      </c>
      <c r="B47" s="5" t="s">
        <v>34</v>
      </c>
      <c r="C47" s="5" t="s">
        <v>35</v>
      </c>
      <c r="D47" s="7">
        <v>123</v>
      </c>
      <c r="E47" s="7">
        <v>121</v>
      </c>
      <c r="F47" s="7">
        <v>118</v>
      </c>
      <c r="G47" s="7">
        <v>128</v>
      </c>
      <c r="H47" s="7">
        <v>115</v>
      </c>
      <c r="J47" t="str">
        <f t="shared" si="1"/>
        <v>Denmark</v>
      </c>
      <c r="K47" t="s">
        <v>105</v>
      </c>
      <c r="L47" s="16">
        <f t="shared" si="7"/>
        <v>0.20330578512396694</v>
      </c>
      <c r="M47" s="16">
        <f t="shared" si="8"/>
        <v>0.2</v>
      </c>
      <c r="N47" s="16">
        <f t="shared" si="9"/>
        <v>0.19504132231404958</v>
      </c>
      <c r="O47" s="16">
        <f t="shared" si="10"/>
        <v>0.21157024793388429</v>
      </c>
      <c r="P47" s="16">
        <f t="shared" si="11"/>
        <v>0.19008264462809918</v>
      </c>
    </row>
    <row r="48" spans="1:16" x14ac:dyDescent="0.3">
      <c r="A48" s="5" t="s">
        <v>62</v>
      </c>
      <c r="B48" s="5" t="s">
        <v>36</v>
      </c>
      <c r="C48" s="5" t="s">
        <v>37</v>
      </c>
      <c r="D48" s="8">
        <v>31</v>
      </c>
      <c r="E48" s="8">
        <v>26</v>
      </c>
      <c r="F48" s="8">
        <v>22</v>
      </c>
      <c r="G48" s="8">
        <v>23</v>
      </c>
      <c r="H48" s="8">
        <v>20</v>
      </c>
      <c r="J48" t="str">
        <f t="shared" si="1"/>
        <v>Denmark</v>
      </c>
      <c r="K48" t="s">
        <v>106</v>
      </c>
      <c r="L48" s="16">
        <f t="shared" si="7"/>
        <v>0.25409836065573771</v>
      </c>
      <c r="M48" s="16">
        <f t="shared" si="8"/>
        <v>0.21311475409836064</v>
      </c>
      <c r="N48" s="16">
        <f t="shared" si="9"/>
        <v>0.18032786885245902</v>
      </c>
      <c r="O48" s="16">
        <f t="shared" si="10"/>
        <v>0.18852459016393441</v>
      </c>
      <c r="P48" s="16">
        <f t="shared" si="11"/>
        <v>0.16393442622950818</v>
      </c>
    </row>
    <row r="49" spans="1:16" x14ac:dyDescent="0.3">
      <c r="A49" s="5" t="s">
        <v>62</v>
      </c>
      <c r="B49" s="5" t="s">
        <v>38</v>
      </c>
      <c r="C49" s="5" t="s">
        <v>39</v>
      </c>
      <c r="D49" s="7">
        <v>40</v>
      </c>
      <c r="E49" s="7">
        <v>35</v>
      </c>
      <c r="F49" s="7">
        <v>37</v>
      </c>
      <c r="G49" s="7">
        <v>36</v>
      </c>
      <c r="H49" s="7">
        <v>49</v>
      </c>
      <c r="J49" t="str">
        <f t="shared" si="1"/>
        <v>Denmark</v>
      </c>
      <c r="K49" t="s">
        <v>107</v>
      </c>
      <c r="L49" s="16">
        <f t="shared" si="7"/>
        <v>0.20304568527918782</v>
      </c>
      <c r="M49" s="16">
        <f t="shared" si="8"/>
        <v>0.17766497461928935</v>
      </c>
      <c r="N49" s="16">
        <f t="shared" si="9"/>
        <v>0.18781725888324874</v>
      </c>
      <c r="O49" s="16">
        <f t="shared" si="10"/>
        <v>0.18274111675126903</v>
      </c>
      <c r="P49" s="16">
        <f t="shared" si="11"/>
        <v>0.24873096446700507</v>
      </c>
    </row>
    <row r="50" spans="1:16" x14ac:dyDescent="0.3">
      <c r="A50" s="5" t="s">
        <v>62</v>
      </c>
      <c r="B50" s="5" t="s">
        <v>40</v>
      </c>
      <c r="C50" s="5" t="s">
        <v>41</v>
      </c>
      <c r="D50" s="8">
        <v>426</v>
      </c>
      <c r="E50" s="8">
        <v>356</v>
      </c>
      <c r="F50" s="8">
        <v>322</v>
      </c>
      <c r="G50" s="8">
        <v>296</v>
      </c>
      <c r="H50" s="8">
        <v>295</v>
      </c>
      <c r="J50" t="str">
        <f t="shared" si="1"/>
        <v>Denmark</v>
      </c>
      <c r="K50" t="s">
        <v>108</v>
      </c>
      <c r="L50" s="16">
        <f t="shared" si="7"/>
        <v>0.25132743362831861</v>
      </c>
      <c r="M50" s="16">
        <f t="shared" si="8"/>
        <v>0.21002949852507374</v>
      </c>
      <c r="N50" s="16">
        <f t="shared" si="9"/>
        <v>0.18997050147492625</v>
      </c>
      <c r="O50" s="16">
        <f t="shared" si="10"/>
        <v>0.17463126843657817</v>
      </c>
      <c r="P50" s="16">
        <f t="shared" si="11"/>
        <v>0.17404129793510326</v>
      </c>
    </row>
    <row r="51" spans="1:16" x14ac:dyDescent="0.3">
      <c r="A51" s="5" t="s">
        <v>62</v>
      </c>
      <c r="B51" s="5" t="s">
        <v>42</v>
      </c>
      <c r="C51" s="5" t="s">
        <v>43</v>
      </c>
      <c r="D51" s="7">
        <v>39</v>
      </c>
      <c r="E51" s="7">
        <v>62</v>
      </c>
      <c r="F51" s="7">
        <v>55</v>
      </c>
      <c r="G51" s="7">
        <v>59</v>
      </c>
      <c r="H51" s="7">
        <v>61</v>
      </c>
      <c r="J51" t="str">
        <f t="shared" si="1"/>
        <v>Denmark</v>
      </c>
      <c r="K51" t="s">
        <v>109</v>
      </c>
      <c r="L51" s="16">
        <f t="shared" si="7"/>
        <v>0.14130434782608695</v>
      </c>
      <c r="M51" s="16">
        <f t="shared" si="8"/>
        <v>0.22463768115942029</v>
      </c>
      <c r="N51" s="16">
        <f t="shared" si="9"/>
        <v>0.19927536231884058</v>
      </c>
      <c r="O51" s="16">
        <f t="shared" si="10"/>
        <v>0.21376811594202899</v>
      </c>
      <c r="P51" s="16">
        <f t="shared" si="11"/>
        <v>0.2210144927536232</v>
      </c>
    </row>
    <row r="52" spans="1:16" x14ac:dyDescent="0.3">
      <c r="A52" s="5" t="s">
        <v>62</v>
      </c>
      <c r="B52" s="5" t="s">
        <v>44</v>
      </c>
      <c r="C52" s="5" t="s">
        <v>45</v>
      </c>
      <c r="D52" s="8">
        <v>31</v>
      </c>
      <c r="E52" s="8">
        <v>30</v>
      </c>
      <c r="F52" s="8">
        <v>28</v>
      </c>
      <c r="G52" s="8">
        <v>24</v>
      </c>
      <c r="H52" s="8">
        <v>17</v>
      </c>
      <c r="J52" t="str">
        <f t="shared" si="1"/>
        <v>Denmark</v>
      </c>
      <c r="K52" t="s">
        <v>110</v>
      </c>
      <c r="L52" s="16">
        <f t="shared" si="7"/>
        <v>0.23846153846153847</v>
      </c>
      <c r="M52" s="16">
        <f t="shared" si="8"/>
        <v>0.23076923076923078</v>
      </c>
      <c r="N52" s="16">
        <f t="shared" si="9"/>
        <v>0.2153846153846154</v>
      </c>
      <c r="O52" s="16">
        <f t="shared" si="10"/>
        <v>0.18461538461538463</v>
      </c>
      <c r="P52" s="16">
        <f t="shared" si="11"/>
        <v>0.13076923076923078</v>
      </c>
    </row>
    <row r="53" spans="1:16" x14ac:dyDescent="0.3">
      <c r="A53" s="5" t="s">
        <v>62</v>
      </c>
      <c r="B53" s="5" t="s">
        <v>46</v>
      </c>
      <c r="C53" s="5" t="s">
        <v>47</v>
      </c>
      <c r="D53" s="7">
        <v>61</v>
      </c>
      <c r="E53" s="7">
        <v>123</v>
      </c>
      <c r="F53" s="7">
        <v>137</v>
      </c>
      <c r="G53" s="7">
        <v>146</v>
      </c>
      <c r="H53" s="7">
        <v>150</v>
      </c>
      <c r="J53" t="str">
        <f t="shared" si="1"/>
        <v>Denmark</v>
      </c>
      <c r="K53" t="s">
        <v>111</v>
      </c>
      <c r="L53" s="16">
        <f t="shared" si="7"/>
        <v>9.8865478119935166E-2</v>
      </c>
      <c r="M53" s="16">
        <f t="shared" si="8"/>
        <v>0.19935170178282011</v>
      </c>
      <c r="N53" s="16">
        <f t="shared" si="9"/>
        <v>0.22204213938411668</v>
      </c>
      <c r="O53" s="16">
        <f t="shared" si="10"/>
        <v>0.23662884927066449</v>
      </c>
      <c r="P53" s="16">
        <f t="shared" si="11"/>
        <v>0.24311183144246354</v>
      </c>
    </row>
    <row r="54" spans="1:16" x14ac:dyDescent="0.3">
      <c r="A54" s="5" t="s">
        <v>62</v>
      </c>
      <c r="B54" s="5" t="s">
        <v>48</v>
      </c>
      <c r="C54" s="5" t="s">
        <v>49</v>
      </c>
      <c r="D54" s="8">
        <v>33</v>
      </c>
      <c r="E54" s="8">
        <v>26</v>
      </c>
      <c r="F54" s="8">
        <v>27</v>
      </c>
      <c r="G54" s="8">
        <v>26</v>
      </c>
      <c r="H54" s="8">
        <v>21</v>
      </c>
      <c r="J54" t="str">
        <f t="shared" si="1"/>
        <v>Denmark</v>
      </c>
      <c r="K54" t="s">
        <v>112</v>
      </c>
      <c r="L54" s="16">
        <f t="shared" si="7"/>
        <v>0.24812030075187969</v>
      </c>
      <c r="M54" s="16">
        <f t="shared" si="8"/>
        <v>0.19548872180451127</v>
      </c>
      <c r="N54" s="16">
        <f t="shared" si="9"/>
        <v>0.20300751879699247</v>
      </c>
      <c r="O54" s="16">
        <f t="shared" si="10"/>
        <v>0.19548872180451127</v>
      </c>
      <c r="P54" s="16">
        <f t="shared" si="11"/>
        <v>0.15789473684210525</v>
      </c>
    </row>
    <row r="55" spans="1:16" x14ac:dyDescent="0.3">
      <c r="A55" s="5" t="s">
        <v>62</v>
      </c>
      <c r="B55" s="5" t="s">
        <v>50</v>
      </c>
      <c r="C55" s="5" t="s">
        <v>51</v>
      </c>
      <c r="D55" s="7">
        <v>95</v>
      </c>
      <c r="E55" s="7">
        <v>99</v>
      </c>
      <c r="F55" s="7">
        <v>108</v>
      </c>
      <c r="G55" s="7">
        <v>92</v>
      </c>
      <c r="H55" s="7">
        <v>97</v>
      </c>
      <c r="J55" t="str">
        <f t="shared" si="1"/>
        <v>Denmark</v>
      </c>
      <c r="K55" t="s">
        <v>113</v>
      </c>
      <c r="L55" s="16">
        <f t="shared" si="7"/>
        <v>0.19348268839103869</v>
      </c>
      <c r="M55" s="16">
        <f t="shared" si="8"/>
        <v>0.20162932790224034</v>
      </c>
      <c r="N55" s="16">
        <f t="shared" si="9"/>
        <v>0.21995926680244399</v>
      </c>
      <c r="O55" s="16">
        <f t="shared" si="10"/>
        <v>0.18737270875763748</v>
      </c>
      <c r="P55" s="16">
        <f t="shared" si="11"/>
        <v>0.19755600814663951</v>
      </c>
    </row>
    <row r="56" spans="1:16" x14ac:dyDescent="0.3">
      <c r="A56" s="5" t="s">
        <v>62</v>
      </c>
      <c r="B56" s="5" t="s">
        <v>52</v>
      </c>
      <c r="C56" s="5" t="s">
        <v>53</v>
      </c>
      <c r="D56" s="8">
        <v>1</v>
      </c>
      <c r="E56" s="8">
        <v>2</v>
      </c>
      <c r="F56" s="8">
        <v>4</v>
      </c>
      <c r="G56" s="8">
        <v>5</v>
      </c>
      <c r="H56" s="8">
        <v>7</v>
      </c>
      <c r="J56" t="str">
        <f t="shared" si="1"/>
        <v>Denmark</v>
      </c>
      <c r="K56" t="s">
        <v>114</v>
      </c>
      <c r="L56" s="16">
        <f t="shared" si="7"/>
        <v>5.2631578947368418E-2</v>
      </c>
      <c r="M56" s="16">
        <f t="shared" si="8"/>
        <v>0.10526315789473684</v>
      </c>
      <c r="N56" s="16">
        <f t="shared" si="9"/>
        <v>0.21052631578947367</v>
      </c>
      <c r="O56" s="16">
        <f t="shared" si="10"/>
        <v>0.26315789473684209</v>
      </c>
      <c r="P56" s="16">
        <f t="shared" si="11"/>
        <v>0.36842105263157893</v>
      </c>
    </row>
    <row r="57" spans="1:16" x14ac:dyDescent="0.3">
      <c r="A57" s="5" t="s">
        <v>62</v>
      </c>
      <c r="B57" s="5" t="s">
        <v>54</v>
      </c>
      <c r="C57" s="5" t="s">
        <v>55</v>
      </c>
      <c r="D57" s="7">
        <v>46</v>
      </c>
      <c r="E57" s="7">
        <v>34</v>
      </c>
      <c r="F57" s="7">
        <v>48</v>
      </c>
      <c r="G57" s="7">
        <v>53</v>
      </c>
      <c r="H57" s="7">
        <v>61</v>
      </c>
      <c r="J57" t="str">
        <f t="shared" si="1"/>
        <v>Denmark</v>
      </c>
      <c r="K57" t="s">
        <v>115</v>
      </c>
      <c r="L57" s="16">
        <f t="shared" si="7"/>
        <v>0.19008264462809918</v>
      </c>
      <c r="M57" s="16">
        <f t="shared" si="8"/>
        <v>0.14049586776859505</v>
      </c>
      <c r="N57" s="16">
        <f t="shared" si="9"/>
        <v>0.19834710743801653</v>
      </c>
      <c r="O57" s="16">
        <f t="shared" si="10"/>
        <v>0.21900826446280991</v>
      </c>
      <c r="P57" s="16">
        <f t="shared" si="11"/>
        <v>0.25206611570247933</v>
      </c>
    </row>
    <row r="58" spans="1:16" x14ac:dyDescent="0.3">
      <c r="A58" s="5" t="s">
        <v>62</v>
      </c>
      <c r="B58" s="5" t="s">
        <v>56</v>
      </c>
      <c r="C58" s="5" t="s">
        <v>57</v>
      </c>
      <c r="D58" s="8">
        <v>76</v>
      </c>
      <c r="E58" s="8">
        <v>86</v>
      </c>
      <c r="F58" s="8">
        <v>97</v>
      </c>
      <c r="G58" s="8">
        <v>112</v>
      </c>
      <c r="H58" s="8">
        <v>107</v>
      </c>
      <c r="J58" t="str">
        <f t="shared" si="1"/>
        <v>Denmark</v>
      </c>
      <c r="K58" t="s">
        <v>116</v>
      </c>
      <c r="L58" s="16">
        <f t="shared" si="7"/>
        <v>0.15899581589958159</v>
      </c>
      <c r="M58" s="16">
        <f t="shared" si="8"/>
        <v>0.1799163179916318</v>
      </c>
      <c r="N58" s="16">
        <f t="shared" si="9"/>
        <v>0.20292887029288703</v>
      </c>
      <c r="O58" s="16">
        <f t="shared" si="10"/>
        <v>0.23430962343096234</v>
      </c>
      <c r="P58" s="16">
        <f t="shared" si="11"/>
        <v>0.22384937238493724</v>
      </c>
    </row>
    <row r="59" spans="1:16" x14ac:dyDescent="0.3">
      <c r="A59" s="5" t="s">
        <v>63</v>
      </c>
      <c r="B59" s="5" t="s">
        <v>34</v>
      </c>
      <c r="C59" s="5" t="s">
        <v>35</v>
      </c>
      <c r="D59" s="7">
        <v>146</v>
      </c>
      <c r="E59" s="7">
        <v>130</v>
      </c>
      <c r="F59" s="7">
        <v>122</v>
      </c>
      <c r="G59" s="7">
        <v>117</v>
      </c>
      <c r="H59" s="7">
        <v>100</v>
      </c>
      <c r="J59" t="str">
        <f t="shared" si="1"/>
        <v>Germany</v>
      </c>
      <c r="K59" t="s">
        <v>105</v>
      </c>
      <c r="L59" s="16">
        <f t="shared" si="7"/>
        <v>0.23739837398373984</v>
      </c>
      <c r="M59" s="16">
        <f t="shared" si="8"/>
        <v>0.21138211382113822</v>
      </c>
      <c r="N59" s="16">
        <f t="shared" si="9"/>
        <v>0.19837398373983739</v>
      </c>
      <c r="O59" s="16">
        <f t="shared" si="10"/>
        <v>0.19024390243902439</v>
      </c>
      <c r="P59" s="16">
        <f t="shared" si="11"/>
        <v>0.16260162601626016</v>
      </c>
    </row>
    <row r="60" spans="1:16" x14ac:dyDescent="0.3">
      <c r="A60" s="5" t="s">
        <v>63</v>
      </c>
      <c r="B60" s="5" t="s">
        <v>36</v>
      </c>
      <c r="C60" s="5" t="s">
        <v>37</v>
      </c>
      <c r="D60" s="8">
        <v>22</v>
      </c>
      <c r="E60" s="8">
        <v>19</v>
      </c>
      <c r="F60" s="8">
        <v>18</v>
      </c>
      <c r="G60" s="8">
        <v>16</v>
      </c>
      <c r="H60" s="8">
        <v>13</v>
      </c>
      <c r="J60" t="str">
        <f t="shared" si="1"/>
        <v>Germany</v>
      </c>
      <c r="K60" t="s">
        <v>106</v>
      </c>
      <c r="L60" s="16">
        <f t="shared" si="7"/>
        <v>0.25</v>
      </c>
      <c r="M60" s="16">
        <f t="shared" si="8"/>
        <v>0.21590909090909091</v>
      </c>
      <c r="N60" s="16">
        <f t="shared" si="9"/>
        <v>0.20454545454545456</v>
      </c>
      <c r="O60" s="16">
        <f t="shared" si="10"/>
        <v>0.18181818181818182</v>
      </c>
      <c r="P60" s="16">
        <f t="shared" si="11"/>
        <v>0.14772727272727273</v>
      </c>
    </row>
    <row r="61" spans="1:16" x14ac:dyDescent="0.3">
      <c r="A61" s="5" t="s">
        <v>63</v>
      </c>
      <c r="B61" s="5" t="s">
        <v>38</v>
      </c>
      <c r="C61" s="5" t="s">
        <v>39</v>
      </c>
      <c r="D61" s="7">
        <v>38</v>
      </c>
      <c r="E61" s="7">
        <v>42</v>
      </c>
      <c r="F61" s="7">
        <v>44</v>
      </c>
      <c r="G61" s="7">
        <v>47</v>
      </c>
      <c r="H61" s="7">
        <v>52</v>
      </c>
      <c r="J61" t="str">
        <f t="shared" si="1"/>
        <v>Germany</v>
      </c>
      <c r="K61" t="s">
        <v>107</v>
      </c>
      <c r="L61" s="16">
        <f t="shared" si="7"/>
        <v>0.17040358744394618</v>
      </c>
      <c r="M61" s="16">
        <f t="shared" si="8"/>
        <v>0.18834080717488788</v>
      </c>
      <c r="N61" s="16">
        <f t="shared" si="9"/>
        <v>0.19730941704035873</v>
      </c>
      <c r="O61" s="16">
        <f t="shared" si="10"/>
        <v>0.21076233183856502</v>
      </c>
      <c r="P61" s="16">
        <f t="shared" si="11"/>
        <v>0.23318385650224216</v>
      </c>
    </row>
    <row r="62" spans="1:16" x14ac:dyDescent="0.3">
      <c r="A62" s="5" t="s">
        <v>63</v>
      </c>
      <c r="B62" s="5" t="s">
        <v>40</v>
      </c>
      <c r="C62" s="5" t="s">
        <v>41</v>
      </c>
      <c r="D62" s="8">
        <v>431</v>
      </c>
      <c r="E62" s="8">
        <v>372</v>
      </c>
      <c r="F62" s="8">
        <v>344</v>
      </c>
      <c r="G62" s="8">
        <v>318</v>
      </c>
      <c r="H62" s="8">
        <v>271</v>
      </c>
      <c r="J62" t="str">
        <f t="shared" si="1"/>
        <v>Germany</v>
      </c>
      <c r="K62" t="s">
        <v>108</v>
      </c>
      <c r="L62" s="16">
        <f t="shared" si="7"/>
        <v>0.24827188940092165</v>
      </c>
      <c r="M62" s="16">
        <f t="shared" si="8"/>
        <v>0.21428571428571427</v>
      </c>
      <c r="N62" s="16">
        <f t="shared" si="9"/>
        <v>0.19815668202764977</v>
      </c>
      <c r="O62" s="16">
        <f t="shared" si="10"/>
        <v>0.18317972350230416</v>
      </c>
      <c r="P62" s="16">
        <f t="shared" si="11"/>
        <v>0.15610599078341014</v>
      </c>
    </row>
    <row r="63" spans="1:16" x14ac:dyDescent="0.3">
      <c r="A63" s="5" t="s">
        <v>63</v>
      </c>
      <c r="B63" s="5" t="s">
        <v>42</v>
      </c>
      <c r="C63" s="5" t="s">
        <v>43</v>
      </c>
      <c r="D63" s="7">
        <v>32</v>
      </c>
      <c r="E63" s="7">
        <v>41</v>
      </c>
      <c r="F63" s="7">
        <v>47</v>
      </c>
      <c r="G63" s="7">
        <v>49</v>
      </c>
      <c r="H63" s="7">
        <v>55</v>
      </c>
      <c r="J63" t="str">
        <f t="shared" si="1"/>
        <v>Germany</v>
      </c>
      <c r="K63" t="s">
        <v>109</v>
      </c>
      <c r="L63" s="16">
        <f t="shared" si="7"/>
        <v>0.14285714285714285</v>
      </c>
      <c r="M63" s="16">
        <f t="shared" si="8"/>
        <v>0.18303571428571427</v>
      </c>
      <c r="N63" s="16">
        <f t="shared" si="9"/>
        <v>0.20982142857142858</v>
      </c>
      <c r="O63" s="16">
        <f t="shared" si="10"/>
        <v>0.21875</v>
      </c>
      <c r="P63" s="16">
        <f t="shared" si="11"/>
        <v>0.24553571428571427</v>
      </c>
    </row>
    <row r="64" spans="1:16" x14ac:dyDescent="0.3">
      <c r="A64" s="5" t="s">
        <v>63</v>
      </c>
      <c r="B64" s="5" t="s">
        <v>44</v>
      </c>
      <c r="C64" s="5" t="s">
        <v>45</v>
      </c>
      <c r="D64" s="8">
        <v>27</v>
      </c>
      <c r="E64" s="8">
        <v>28</v>
      </c>
      <c r="F64" s="8">
        <v>35</v>
      </c>
      <c r="G64" s="8">
        <v>38</v>
      </c>
      <c r="H64" s="8">
        <v>52</v>
      </c>
      <c r="J64" t="str">
        <f t="shared" si="1"/>
        <v>Germany</v>
      </c>
      <c r="K64" t="s">
        <v>110</v>
      </c>
      <c r="L64" s="16">
        <f t="shared" si="7"/>
        <v>0.15</v>
      </c>
      <c r="M64" s="16">
        <f t="shared" si="8"/>
        <v>0.15555555555555556</v>
      </c>
      <c r="N64" s="16">
        <f t="shared" si="9"/>
        <v>0.19444444444444445</v>
      </c>
      <c r="O64" s="16">
        <f t="shared" si="10"/>
        <v>0.21111111111111111</v>
      </c>
      <c r="P64" s="16">
        <f t="shared" si="11"/>
        <v>0.28888888888888886</v>
      </c>
    </row>
    <row r="65" spans="1:16" x14ac:dyDescent="0.3">
      <c r="A65" s="5" t="s">
        <v>63</v>
      </c>
      <c r="B65" s="5" t="s">
        <v>46</v>
      </c>
      <c r="C65" s="5" t="s">
        <v>47</v>
      </c>
      <c r="D65" s="7">
        <v>73</v>
      </c>
      <c r="E65" s="7">
        <v>105</v>
      </c>
      <c r="F65" s="7">
        <v>118</v>
      </c>
      <c r="G65" s="7">
        <v>138</v>
      </c>
      <c r="H65" s="7">
        <v>165</v>
      </c>
      <c r="J65" t="str">
        <f t="shared" si="1"/>
        <v>Germany</v>
      </c>
      <c r="K65" t="s">
        <v>111</v>
      </c>
      <c r="L65" s="16">
        <f t="shared" si="7"/>
        <v>0.12186978297161936</v>
      </c>
      <c r="M65" s="16">
        <f t="shared" si="8"/>
        <v>0.17529215358931552</v>
      </c>
      <c r="N65" s="16">
        <f t="shared" si="9"/>
        <v>0.19699499165275458</v>
      </c>
      <c r="O65" s="16">
        <f t="shared" si="10"/>
        <v>0.23038397328881469</v>
      </c>
      <c r="P65" s="16">
        <f t="shared" si="11"/>
        <v>0.27545909849749584</v>
      </c>
    </row>
    <row r="66" spans="1:16" x14ac:dyDescent="0.3">
      <c r="A66" s="5" t="s">
        <v>63</v>
      </c>
      <c r="B66" s="5" t="s">
        <v>48</v>
      </c>
      <c r="C66" s="5" t="s">
        <v>49</v>
      </c>
      <c r="D66" s="8">
        <v>38</v>
      </c>
      <c r="E66" s="8">
        <v>32</v>
      </c>
      <c r="F66" s="8">
        <v>28</v>
      </c>
      <c r="G66" s="8">
        <v>25</v>
      </c>
      <c r="H66" s="8">
        <v>20</v>
      </c>
      <c r="J66" t="str">
        <f t="shared" si="1"/>
        <v>Germany</v>
      </c>
      <c r="K66" t="s">
        <v>112</v>
      </c>
      <c r="L66" s="16">
        <f t="shared" si="7"/>
        <v>0.26573426573426573</v>
      </c>
      <c r="M66" s="16">
        <f t="shared" si="8"/>
        <v>0.22377622377622378</v>
      </c>
      <c r="N66" s="16">
        <f t="shared" si="9"/>
        <v>0.19580419580419581</v>
      </c>
      <c r="O66" s="16">
        <f t="shared" si="10"/>
        <v>0.17482517482517482</v>
      </c>
      <c r="P66" s="16">
        <f t="shared" si="11"/>
        <v>0.13986013986013987</v>
      </c>
    </row>
    <row r="67" spans="1:16" x14ac:dyDescent="0.3">
      <c r="A67" s="5" t="s">
        <v>63</v>
      </c>
      <c r="B67" s="5" t="s">
        <v>50</v>
      </c>
      <c r="C67" s="5" t="s">
        <v>51</v>
      </c>
      <c r="D67" s="7">
        <v>82</v>
      </c>
      <c r="E67" s="7">
        <v>98</v>
      </c>
      <c r="F67" s="7">
        <v>101</v>
      </c>
      <c r="G67" s="7">
        <v>102</v>
      </c>
      <c r="H67" s="7">
        <v>111</v>
      </c>
      <c r="J67" t="str">
        <f t="shared" si="1"/>
        <v>Germany</v>
      </c>
      <c r="K67" t="s">
        <v>113</v>
      </c>
      <c r="L67" s="16">
        <f t="shared" si="7"/>
        <v>0.16599190283400811</v>
      </c>
      <c r="M67" s="16">
        <f t="shared" si="8"/>
        <v>0.19838056680161945</v>
      </c>
      <c r="N67" s="16">
        <f t="shared" si="9"/>
        <v>0.20445344129554655</v>
      </c>
      <c r="O67" s="16">
        <f t="shared" si="10"/>
        <v>0.20647773279352227</v>
      </c>
      <c r="P67" s="16">
        <f t="shared" si="11"/>
        <v>0.22469635627530365</v>
      </c>
    </row>
    <row r="68" spans="1:16" x14ac:dyDescent="0.3">
      <c r="A68" s="5" t="s">
        <v>63</v>
      </c>
      <c r="B68" s="5" t="s">
        <v>52</v>
      </c>
      <c r="C68" s="5" t="s">
        <v>53</v>
      </c>
      <c r="D68" s="8">
        <v>6</v>
      </c>
      <c r="E68" s="8">
        <v>6</v>
      </c>
      <c r="F68" s="8">
        <v>7</v>
      </c>
      <c r="G68" s="8">
        <v>9</v>
      </c>
      <c r="H68" s="8">
        <v>10</v>
      </c>
      <c r="J68" t="str">
        <f t="shared" si="1"/>
        <v>Germany</v>
      </c>
      <c r="K68" t="s">
        <v>114</v>
      </c>
      <c r="L68" s="16">
        <f t="shared" si="7"/>
        <v>0.15789473684210525</v>
      </c>
      <c r="M68" s="16">
        <f t="shared" si="8"/>
        <v>0.15789473684210525</v>
      </c>
      <c r="N68" s="16">
        <f t="shared" si="9"/>
        <v>0.18421052631578946</v>
      </c>
      <c r="O68" s="16">
        <f t="shared" si="10"/>
        <v>0.23684210526315788</v>
      </c>
      <c r="P68" s="16">
        <f t="shared" si="11"/>
        <v>0.26315789473684209</v>
      </c>
    </row>
    <row r="69" spans="1:16" x14ac:dyDescent="0.3">
      <c r="A69" s="5" t="s">
        <v>63</v>
      </c>
      <c r="B69" s="5" t="s">
        <v>54</v>
      </c>
      <c r="C69" s="5" t="s">
        <v>55</v>
      </c>
      <c r="D69" s="7">
        <v>35</v>
      </c>
      <c r="E69" s="7">
        <v>42</v>
      </c>
      <c r="F69" s="7">
        <v>48</v>
      </c>
      <c r="G69" s="7">
        <v>51</v>
      </c>
      <c r="H69" s="7">
        <v>60</v>
      </c>
      <c r="J69" t="str">
        <f t="shared" si="1"/>
        <v>Germany</v>
      </c>
      <c r="K69" t="s">
        <v>115</v>
      </c>
      <c r="L69" s="16">
        <f t="shared" si="7"/>
        <v>0.14830508474576271</v>
      </c>
      <c r="M69" s="16">
        <f t="shared" si="8"/>
        <v>0.17796610169491525</v>
      </c>
      <c r="N69" s="16">
        <f t="shared" si="9"/>
        <v>0.20338983050847459</v>
      </c>
      <c r="O69" s="16">
        <f t="shared" si="10"/>
        <v>0.21610169491525424</v>
      </c>
      <c r="P69" s="16">
        <f t="shared" si="11"/>
        <v>0.25423728813559321</v>
      </c>
    </row>
    <row r="70" spans="1:16" x14ac:dyDescent="0.3">
      <c r="A70" s="5" t="s">
        <v>63</v>
      </c>
      <c r="B70" s="5" t="s">
        <v>56</v>
      </c>
      <c r="C70" s="5" t="s">
        <v>57</v>
      </c>
      <c r="D70" s="8">
        <v>70</v>
      </c>
      <c r="E70" s="8">
        <v>83</v>
      </c>
      <c r="F70" s="8">
        <v>88</v>
      </c>
      <c r="G70" s="8">
        <v>90</v>
      </c>
      <c r="H70" s="8">
        <v>90</v>
      </c>
      <c r="J70" t="str">
        <f t="shared" si="1"/>
        <v>Germany</v>
      </c>
      <c r="K70" t="s">
        <v>116</v>
      </c>
      <c r="L70" s="16">
        <f t="shared" si="7"/>
        <v>0.166270783847981</v>
      </c>
      <c r="M70" s="16">
        <f t="shared" si="8"/>
        <v>0.19714964370546317</v>
      </c>
      <c r="N70" s="16">
        <f t="shared" si="9"/>
        <v>0.20902612826603326</v>
      </c>
      <c r="O70" s="16">
        <f t="shared" si="10"/>
        <v>0.21377672209026127</v>
      </c>
      <c r="P70" s="16">
        <f t="shared" si="11"/>
        <v>0.21377672209026127</v>
      </c>
    </row>
    <row r="71" spans="1:16" x14ac:dyDescent="0.3">
      <c r="A71" s="5" t="s">
        <v>64</v>
      </c>
      <c r="B71" s="5" t="s">
        <v>34</v>
      </c>
      <c r="C71" s="5" t="s">
        <v>35</v>
      </c>
      <c r="D71" s="7">
        <v>315</v>
      </c>
      <c r="E71" s="7">
        <v>280</v>
      </c>
      <c r="F71" s="7">
        <v>239</v>
      </c>
      <c r="G71" s="7">
        <v>199</v>
      </c>
      <c r="H71" s="7">
        <v>154</v>
      </c>
      <c r="J71" t="str">
        <f t="shared" si="1"/>
        <v>Estonia</v>
      </c>
      <c r="K71" t="s">
        <v>105</v>
      </c>
      <c r="L71" s="16">
        <f t="shared" si="7"/>
        <v>0.26537489469250208</v>
      </c>
      <c r="M71" s="16">
        <f t="shared" si="8"/>
        <v>0.23588879528222409</v>
      </c>
      <c r="N71" s="16">
        <f t="shared" si="9"/>
        <v>0.20134793597304129</v>
      </c>
      <c r="O71" s="16">
        <f t="shared" si="10"/>
        <v>0.16764953664700927</v>
      </c>
      <c r="P71" s="16">
        <f t="shared" si="11"/>
        <v>0.12973883740522324</v>
      </c>
    </row>
    <row r="72" spans="1:16" x14ac:dyDescent="0.3">
      <c r="A72" s="5" t="s">
        <v>64</v>
      </c>
      <c r="B72" s="5" t="s">
        <v>36</v>
      </c>
      <c r="C72" s="5" t="s">
        <v>37</v>
      </c>
      <c r="D72" s="8">
        <v>32</v>
      </c>
      <c r="E72" s="8">
        <v>45</v>
      </c>
      <c r="F72" s="8">
        <v>41</v>
      </c>
      <c r="G72" s="8">
        <v>31</v>
      </c>
      <c r="H72" s="8">
        <v>25</v>
      </c>
      <c r="J72" t="str">
        <f t="shared" si="1"/>
        <v>Estonia</v>
      </c>
      <c r="K72" t="s">
        <v>106</v>
      </c>
      <c r="L72" s="16">
        <f t="shared" si="7"/>
        <v>0.18390804597701149</v>
      </c>
      <c r="M72" s="16">
        <f t="shared" si="8"/>
        <v>0.25862068965517243</v>
      </c>
      <c r="N72" s="16">
        <f t="shared" si="9"/>
        <v>0.23563218390804597</v>
      </c>
      <c r="O72" s="16">
        <f t="shared" si="10"/>
        <v>0.17816091954022989</v>
      </c>
      <c r="P72" s="16">
        <f t="shared" si="11"/>
        <v>0.14367816091954022</v>
      </c>
    </row>
    <row r="73" spans="1:16" x14ac:dyDescent="0.3">
      <c r="A73" s="5" t="s">
        <v>64</v>
      </c>
      <c r="B73" s="5" t="s">
        <v>38</v>
      </c>
      <c r="C73" s="5" t="s">
        <v>39</v>
      </c>
      <c r="D73" s="7">
        <v>33</v>
      </c>
      <c r="E73" s="7">
        <v>32</v>
      </c>
      <c r="F73" s="7">
        <v>57</v>
      </c>
      <c r="G73" s="7">
        <v>48</v>
      </c>
      <c r="H73" s="7">
        <v>49</v>
      </c>
      <c r="J73" t="str">
        <f t="shared" si="1"/>
        <v>Estonia</v>
      </c>
      <c r="K73" t="s">
        <v>107</v>
      </c>
      <c r="L73" s="16">
        <f t="shared" si="7"/>
        <v>0.15068493150684931</v>
      </c>
      <c r="M73" s="16">
        <f t="shared" si="8"/>
        <v>0.14611872146118721</v>
      </c>
      <c r="N73" s="16">
        <f t="shared" si="9"/>
        <v>0.26027397260273971</v>
      </c>
      <c r="O73" s="16">
        <f t="shared" si="10"/>
        <v>0.21917808219178081</v>
      </c>
      <c r="P73" s="16">
        <f t="shared" si="11"/>
        <v>0.22374429223744291</v>
      </c>
    </row>
    <row r="74" spans="1:16" x14ac:dyDescent="0.3">
      <c r="A74" s="5" t="s">
        <v>64</v>
      </c>
      <c r="B74" s="5" t="s">
        <v>40</v>
      </c>
      <c r="C74" s="5" t="s">
        <v>41</v>
      </c>
      <c r="D74" s="8">
        <v>276</v>
      </c>
      <c r="E74" s="8">
        <v>253</v>
      </c>
      <c r="F74" s="8">
        <v>232</v>
      </c>
      <c r="G74" s="8">
        <v>257</v>
      </c>
      <c r="H74" s="8">
        <v>305</v>
      </c>
      <c r="J74" t="str">
        <f t="shared" si="1"/>
        <v>Estonia</v>
      </c>
      <c r="K74" t="s">
        <v>108</v>
      </c>
      <c r="L74" s="16">
        <f t="shared" si="7"/>
        <v>0.20861678004535147</v>
      </c>
      <c r="M74" s="16">
        <f t="shared" si="8"/>
        <v>0.19123204837490551</v>
      </c>
      <c r="N74" s="16">
        <f t="shared" si="9"/>
        <v>0.17535903250188964</v>
      </c>
      <c r="O74" s="16">
        <f t="shared" si="10"/>
        <v>0.19425547996976569</v>
      </c>
      <c r="P74" s="16">
        <f t="shared" si="11"/>
        <v>0.23053665910808768</v>
      </c>
    </row>
    <row r="75" spans="1:16" x14ac:dyDescent="0.3">
      <c r="A75" s="5" t="s">
        <v>64</v>
      </c>
      <c r="B75" s="5" t="s">
        <v>42</v>
      </c>
      <c r="C75" s="5" t="s">
        <v>43</v>
      </c>
      <c r="D75" s="7">
        <v>58</v>
      </c>
      <c r="E75" s="7">
        <v>55</v>
      </c>
      <c r="F75" s="7">
        <v>56</v>
      </c>
      <c r="G75" s="7">
        <v>59</v>
      </c>
      <c r="H75" s="7">
        <v>62</v>
      </c>
      <c r="J75" t="str">
        <f t="shared" si="1"/>
        <v>Estonia</v>
      </c>
      <c r="K75" t="s">
        <v>109</v>
      </c>
      <c r="L75" s="16">
        <f t="shared" si="7"/>
        <v>0.2</v>
      </c>
      <c r="M75" s="16">
        <f t="shared" si="8"/>
        <v>0.18965517241379309</v>
      </c>
      <c r="N75" s="16">
        <f t="shared" si="9"/>
        <v>0.19310344827586207</v>
      </c>
      <c r="O75" s="16">
        <f t="shared" si="10"/>
        <v>0.20344827586206896</v>
      </c>
      <c r="P75" s="16">
        <f t="shared" si="11"/>
        <v>0.21379310344827587</v>
      </c>
    </row>
    <row r="76" spans="1:16" x14ac:dyDescent="0.3">
      <c r="A76" s="5" t="s">
        <v>64</v>
      </c>
      <c r="B76" s="5" t="s">
        <v>44</v>
      </c>
      <c r="C76" s="5" t="s">
        <v>45</v>
      </c>
      <c r="D76" s="8">
        <v>77</v>
      </c>
      <c r="E76" s="8">
        <v>54</v>
      </c>
      <c r="F76" s="8">
        <v>39</v>
      </c>
      <c r="G76" s="8">
        <v>31</v>
      </c>
      <c r="H76" s="8">
        <v>30</v>
      </c>
      <c r="J76" t="str">
        <f t="shared" ref="J76:J139" si="12">A76</f>
        <v>Estonia</v>
      </c>
      <c r="K76" t="s">
        <v>110</v>
      </c>
      <c r="L76" s="16">
        <f t="shared" si="7"/>
        <v>0.33333333333333331</v>
      </c>
      <c r="M76" s="16">
        <f t="shared" si="8"/>
        <v>0.23376623376623376</v>
      </c>
      <c r="N76" s="16">
        <f t="shared" si="9"/>
        <v>0.16883116883116883</v>
      </c>
      <c r="O76" s="16">
        <f t="shared" si="10"/>
        <v>0.13419913419913421</v>
      </c>
      <c r="P76" s="16">
        <f t="shared" si="11"/>
        <v>0.12987012987012986</v>
      </c>
    </row>
    <row r="77" spans="1:16" x14ac:dyDescent="0.3">
      <c r="A77" s="5" t="s">
        <v>64</v>
      </c>
      <c r="B77" s="5" t="s">
        <v>46</v>
      </c>
      <c r="C77" s="5" t="s">
        <v>47</v>
      </c>
      <c r="D77" s="7">
        <v>36</v>
      </c>
      <c r="E77" s="7">
        <v>83</v>
      </c>
      <c r="F77" s="7">
        <v>114</v>
      </c>
      <c r="G77" s="7">
        <v>137</v>
      </c>
      <c r="H77" s="7">
        <v>125</v>
      </c>
      <c r="J77" t="str">
        <f t="shared" si="12"/>
        <v>Estonia</v>
      </c>
      <c r="K77" t="s">
        <v>111</v>
      </c>
      <c r="L77" s="16">
        <f t="shared" si="7"/>
        <v>7.2727272727272724E-2</v>
      </c>
      <c r="M77" s="16">
        <f t="shared" si="8"/>
        <v>0.16767676767676767</v>
      </c>
      <c r="N77" s="16">
        <f t="shared" si="9"/>
        <v>0.23030303030303031</v>
      </c>
      <c r="O77" s="16">
        <f t="shared" si="10"/>
        <v>0.27676767676767677</v>
      </c>
      <c r="P77" s="16">
        <f t="shared" si="11"/>
        <v>0.25252525252525254</v>
      </c>
    </row>
    <row r="78" spans="1:16" x14ac:dyDescent="0.3">
      <c r="A78" s="5" t="s">
        <v>64</v>
      </c>
      <c r="B78" s="5" t="s">
        <v>48</v>
      </c>
      <c r="C78" s="5" t="s">
        <v>49</v>
      </c>
      <c r="D78" s="8">
        <v>50</v>
      </c>
      <c r="E78" s="8">
        <v>49</v>
      </c>
      <c r="F78" s="8">
        <v>45</v>
      </c>
      <c r="G78" s="8">
        <v>41</v>
      </c>
      <c r="H78" s="8">
        <v>35</v>
      </c>
      <c r="J78" t="str">
        <f t="shared" si="12"/>
        <v>Estonia</v>
      </c>
      <c r="K78" t="s">
        <v>112</v>
      </c>
      <c r="L78" s="16">
        <f t="shared" si="7"/>
        <v>0.22727272727272727</v>
      </c>
      <c r="M78" s="16">
        <f t="shared" si="8"/>
        <v>0.22272727272727272</v>
      </c>
      <c r="N78" s="16">
        <f t="shared" si="9"/>
        <v>0.20454545454545456</v>
      </c>
      <c r="O78" s="16">
        <f t="shared" si="10"/>
        <v>0.18636363636363637</v>
      </c>
      <c r="P78" s="16">
        <f t="shared" si="11"/>
        <v>0.15909090909090909</v>
      </c>
    </row>
    <row r="79" spans="1:16" x14ac:dyDescent="0.3">
      <c r="A79" s="5" t="s">
        <v>64</v>
      </c>
      <c r="B79" s="5" t="s">
        <v>50</v>
      </c>
      <c r="C79" s="5" t="s">
        <v>51</v>
      </c>
      <c r="D79" s="7">
        <v>75</v>
      </c>
      <c r="E79" s="7">
        <v>75</v>
      </c>
      <c r="F79" s="7">
        <v>91</v>
      </c>
      <c r="G79" s="7">
        <v>97</v>
      </c>
      <c r="H79" s="7">
        <v>106</v>
      </c>
      <c r="J79" t="str">
        <f t="shared" si="12"/>
        <v>Estonia</v>
      </c>
      <c r="K79" t="s">
        <v>113</v>
      </c>
      <c r="L79" s="16">
        <f t="shared" si="7"/>
        <v>0.16891891891891891</v>
      </c>
      <c r="M79" s="16">
        <f t="shared" si="8"/>
        <v>0.16891891891891891</v>
      </c>
      <c r="N79" s="16">
        <f t="shared" si="9"/>
        <v>0.20495495495495494</v>
      </c>
      <c r="O79" s="16">
        <f t="shared" si="10"/>
        <v>0.21846846846846846</v>
      </c>
      <c r="P79" s="16">
        <f t="shared" si="11"/>
        <v>0.23873873873873874</v>
      </c>
    </row>
    <row r="80" spans="1:16" x14ac:dyDescent="0.3">
      <c r="A80" s="5" t="s">
        <v>64</v>
      </c>
      <c r="B80" s="5" t="s">
        <v>52</v>
      </c>
      <c r="C80" s="5" t="s">
        <v>53</v>
      </c>
      <c r="D80" s="8">
        <v>2</v>
      </c>
      <c r="E80" s="8">
        <v>6</v>
      </c>
      <c r="F80" s="8">
        <v>9</v>
      </c>
      <c r="G80" s="8">
        <v>15</v>
      </c>
      <c r="H80" s="8">
        <v>14</v>
      </c>
      <c r="J80" t="str">
        <f t="shared" si="12"/>
        <v>Estonia</v>
      </c>
      <c r="K80" t="s">
        <v>114</v>
      </c>
      <c r="L80" s="16">
        <f t="shared" si="7"/>
        <v>4.3478260869565216E-2</v>
      </c>
      <c r="M80" s="16">
        <f t="shared" si="8"/>
        <v>0.13043478260869565</v>
      </c>
      <c r="N80" s="16">
        <f t="shared" si="9"/>
        <v>0.19565217391304349</v>
      </c>
      <c r="O80" s="16">
        <f t="shared" si="10"/>
        <v>0.32608695652173914</v>
      </c>
      <c r="P80" s="16">
        <f t="shared" si="11"/>
        <v>0.30434782608695654</v>
      </c>
    </row>
    <row r="81" spans="1:16" x14ac:dyDescent="0.3">
      <c r="A81" s="5" t="s">
        <v>64</v>
      </c>
      <c r="B81" s="5" t="s">
        <v>54</v>
      </c>
      <c r="C81" s="5" t="s">
        <v>55</v>
      </c>
      <c r="D81" s="7">
        <v>11</v>
      </c>
      <c r="E81" s="7">
        <v>21</v>
      </c>
      <c r="F81" s="7">
        <v>29</v>
      </c>
      <c r="G81" s="7">
        <v>38</v>
      </c>
      <c r="H81" s="7">
        <v>50</v>
      </c>
      <c r="J81" t="str">
        <f t="shared" si="12"/>
        <v>Estonia</v>
      </c>
      <c r="K81" t="s">
        <v>115</v>
      </c>
      <c r="L81" s="16">
        <f t="shared" si="7"/>
        <v>7.3825503355704702E-2</v>
      </c>
      <c r="M81" s="16">
        <f t="shared" si="8"/>
        <v>0.14093959731543623</v>
      </c>
      <c r="N81" s="16">
        <f t="shared" si="9"/>
        <v>0.19463087248322147</v>
      </c>
      <c r="O81" s="16">
        <f t="shared" si="10"/>
        <v>0.25503355704697989</v>
      </c>
      <c r="P81" s="16">
        <f t="shared" si="11"/>
        <v>0.33557046979865773</v>
      </c>
    </row>
    <row r="82" spans="1:16" x14ac:dyDescent="0.3">
      <c r="A82" s="5" t="s">
        <v>64</v>
      </c>
      <c r="B82" s="5" t="s">
        <v>56</v>
      </c>
      <c r="C82" s="5" t="s">
        <v>57</v>
      </c>
      <c r="D82" s="8">
        <v>35</v>
      </c>
      <c r="E82" s="8">
        <v>49</v>
      </c>
      <c r="F82" s="8">
        <v>47</v>
      </c>
      <c r="G82" s="8">
        <v>48</v>
      </c>
      <c r="H82" s="8">
        <v>45</v>
      </c>
      <c r="J82" t="str">
        <f t="shared" si="12"/>
        <v>Estonia</v>
      </c>
      <c r="K82" t="s">
        <v>116</v>
      </c>
      <c r="L82" s="16">
        <f t="shared" ref="L82:L145" si="13">D82/(SUM($D82:$H82))</f>
        <v>0.15625</v>
      </c>
      <c r="M82" s="16">
        <f t="shared" ref="M82:M145" si="14">E82/(SUM($D82:$H82))</f>
        <v>0.21875</v>
      </c>
      <c r="N82" s="16">
        <f t="shared" ref="N82:N145" si="15">F82/(SUM($D82:$H82))</f>
        <v>0.20982142857142858</v>
      </c>
      <c r="O82" s="16">
        <f t="shared" ref="O82:O145" si="16">G82/(SUM($D82:$H82))</f>
        <v>0.21428571428571427</v>
      </c>
      <c r="P82" s="16">
        <f t="shared" ref="P82:P145" si="17">H82/(SUM($D82:$H82))</f>
        <v>0.20089285714285715</v>
      </c>
    </row>
    <row r="83" spans="1:16" x14ac:dyDescent="0.3">
      <c r="A83" s="5" t="s">
        <v>65</v>
      </c>
      <c r="B83" s="5" t="s">
        <v>34</v>
      </c>
      <c r="C83" s="5" t="s">
        <v>35</v>
      </c>
      <c r="D83" s="7">
        <v>137</v>
      </c>
      <c r="E83" s="7">
        <v>133</v>
      </c>
      <c r="F83" s="7">
        <v>118</v>
      </c>
      <c r="G83" s="7">
        <v>112</v>
      </c>
      <c r="H83" s="7">
        <v>101</v>
      </c>
      <c r="J83" t="str">
        <f t="shared" si="12"/>
        <v>Ireland</v>
      </c>
      <c r="K83" t="s">
        <v>105</v>
      </c>
      <c r="L83" s="16">
        <f t="shared" si="13"/>
        <v>0.22795341098169716</v>
      </c>
      <c r="M83" s="16">
        <f t="shared" si="14"/>
        <v>0.22129783693843594</v>
      </c>
      <c r="N83" s="16">
        <f t="shared" si="15"/>
        <v>0.19633943427620631</v>
      </c>
      <c r="O83" s="16">
        <f t="shared" si="16"/>
        <v>0.18635607321131448</v>
      </c>
      <c r="P83" s="16">
        <f t="shared" si="17"/>
        <v>0.16805324459234608</v>
      </c>
    </row>
    <row r="84" spans="1:16" x14ac:dyDescent="0.3">
      <c r="A84" s="5" t="s">
        <v>65</v>
      </c>
      <c r="B84" s="5" t="s">
        <v>36</v>
      </c>
      <c r="C84" s="5" t="s">
        <v>37</v>
      </c>
      <c r="D84" s="8">
        <v>33</v>
      </c>
      <c r="E84" s="8">
        <v>26</v>
      </c>
      <c r="F84" s="8">
        <v>25</v>
      </c>
      <c r="G84" s="8">
        <v>21</v>
      </c>
      <c r="H84" s="8">
        <v>18</v>
      </c>
      <c r="J84" t="str">
        <f t="shared" si="12"/>
        <v>Ireland</v>
      </c>
      <c r="K84" t="s">
        <v>106</v>
      </c>
      <c r="L84" s="16">
        <f t="shared" si="13"/>
        <v>0.26829268292682928</v>
      </c>
      <c r="M84" s="16">
        <f t="shared" si="14"/>
        <v>0.21138211382113822</v>
      </c>
      <c r="N84" s="16">
        <f t="shared" si="15"/>
        <v>0.2032520325203252</v>
      </c>
      <c r="O84" s="16">
        <f t="shared" si="16"/>
        <v>0.17073170731707318</v>
      </c>
      <c r="P84" s="16">
        <f t="shared" si="17"/>
        <v>0.14634146341463414</v>
      </c>
    </row>
    <row r="85" spans="1:16" x14ac:dyDescent="0.3">
      <c r="A85" s="5" t="s">
        <v>65</v>
      </c>
      <c r="B85" s="5" t="s">
        <v>38</v>
      </c>
      <c r="C85" s="5" t="s">
        <v>39</v>
      </c>
      <c r="D85" s="7">
        <v>31</v>
      </c>
      <c r="E85" s="7">
        <v>39</v>
      </c>
      <c r="F85" s="7">
        <v>42</v>
      </c>
      <c r="G85" s="7">
        <v>46</v>
      </c>
      <c r="H85" s="7">
        <v>47</v>
      </c>
      <c r="J85" t="str">
        <f t="shared" si="12"/>
        <v>Ireland</v>
      </c>
      <c r="K85" t="s">
        <v>107</v>
      </c>
      <c r="L85" s="16">
        <f t="shared" si="13"/>
        <v>0.15121951219512195</v>
      </c>
      <c r="M85" s="16">
        <f t="shared" si="14"/>
        <v>0.19024390243902439</v>
      </c>
      <c r="N85" s="16">
        <f t="shared" si="15"/>
        <v>0.20487804878048779</v>
      </c>
      <c r="O85" s="16">
        <f t="shared" si="16"/>
        <v>0.22439024390243903</v>
      </c>
      <c r="P85" s="16">
        <f t="shared" si="17"/>
        <v>0.22926829268292684</v>
      </c>
    </row>
    <row r="86" spans="1:16" x14ac:dyDescent="0.3">
      <c r="A86" s="5" t="s">
        <v>65</v>
      </c>
      <c r="B86" s="5" t="s">
        <v>40</v>
      </c>
      <c r="C86" s="5" t="s">
        <v>41</v>
      </c>
      <c r="D86" s="8">
        <v>407</v>
      </c>
      <c r="E86" s="8">
        <v>365</v>
      </c>
      <c r="F86" s="8">
        <v>342</v>
      </c>
      <c r="G86" s="8">
        <v>302</v>
      </c>
      <c r="H86" s="8">
        <v>266</v>
      </c>
      <c r="J86" t="str">
        <f t="shared" si="12"/>
        <v>Ireland</v>
      </c>
      <c r="K86" t="s">
        <v>108</v>
      </c>
      <c r="L86" s="16">
        <f t="shared" si="13"/>
        <v>0.24197384066587396</v>
      </c>
      <c r="M86" s="16">
        <f t="shared" si="14"/>
        <v>0.21700356718192629</v>
      </c>
      <c r="N86" s="16">
        <f t="shared" si="15"/>
        <v>0.20332936979785968</v>
      </c>
      <c r="O86" s="16">
        <f t="shared" si="16"/>
        <v>0.17954815695600476</v>
      </c>
      <c r="P86" s="16">
        <f t="shared" si="17"/>
        <v>0.15814506539833531</v>
      </c>
    </row>
    <row r="87" spans="1:16" x14ac:dyDescent="0.3">
      <c r="A87" s="5" t="s">
        <v>65</v>
      </c>
      <c r="B87" s="5" t="s">
        <v>42</v>
      </c>
      <c r="C87" s="5" t="s">
        <v>43</v>
      </c>
      <c r="D87" s="7">
        <v>33</v>
      </c>
      <c r="E87" s="7">
        <v>34</v>
      </c>
      <c r="F87" s="7">
        <v>38</v>
      </c>
      <c r="G87" s="7">
        <v>35</v>
      </c>
      <c r="H87" s="7">
        <v>41</v>
      </c>
      <c r="J87" t="str">
        <f t="shared" si="12"/>
        <v>Ireland</v>
      </c>
      <c r="K87" t="s">
        <v>109</v>
      </c>
      <c r="L87" s="16">
        <f t="shared" si="13"/>
        <v>0.18232044198895028</v>
      </c>
      <c r="M87" s="16">
        <f t="shared" si="14"/>
        <v>0.18784530386740331</v>
      </c>
      <c r="N87" s="16">
        <f t="shared" si="15"/>
        <v>0.20994475138121546</v>
      </c>
      <c r="O87" s="16">
        <f t="shared" si="16"/>
        <v>0.19337016574585636</v>
      </c>
      <c r="P87" s="16">
        <f t="shared" si="17"/>
        <v>0.22651933701657459</v>
      </c>
    </row>
    <row r="88" spans="1:16" x14ac:dyDescent="0.3">
      <c r="A88" s="5" t="s">
        <v>65</v>
      </c>
      <c r="B88" s="5" t="s">
        <v>44</v>
      </c>
      <c r="C88" s="5" t="s">
        <v>45</v>
      </c>
      <c r="D88" s="8">
        <v>18</v>
      </c>
      <c r="E88" s="8">
        <v>21</v>
      </c>
      <c r="F88" s="8">
        <v>21</v>
      </c>
      <c r="G88" s="8">
        <v>24</v>
      </c>
      <c r="H88" s="8">
        <v>27</v>
      </c>
      <c r="J88" t="str">
        <f t="shared" si="12"/>
        <v>Ireland</v>
      </c>
      <c r="K88" t="s">
        <v>110</v>
      </c>
      <c r="L88" s="16">
        <f t="shared" si="13"/>
        <v>0.16216216216216217</v>
      </c>
      <c r="M88" s="16">
        <f t="shared" si="14"/>
        <v>0.1891891891891892</v>
      </c>
      <c r="N88" s="16">
        <f t="shared" si="15"/>
        <v>0.1891891891891892</v>
      </c>
      <c r="O88" s="16">
        <f t="shared" si="16"/>
        <v>0.21621621621621623</v>
      </c>
      <c r="P88" s="16">
        <f t="shared" si="17"/>
        <v>0.24324324324324326</v>
      </c>
    </row>
    <row r="89" spans="1:16" x14ac:dyDescent="0.3">
      <c r="A89" s="5" t="s">
        <v>65</v>
      </c>
      <c r="B89" s="5" t="s">
        <v>46</v>
      </c>
      <c r="C89" s="5" t="s">
        <v>47</v>
      </c>
      <c r="D89" s="7">
        <v>82</v>
      </c>
      <c r="E89" s="7">
        <v>115</v>
      </c>
      <c r="F89" s="7">
        <v>124</v>
      </c>
      <c r="G89" s="7">
        <v>139</v>
      </c>
      <c r="H89" s="7">
        <v>144</v>
      </c>
      <c r="J89" t="str">
        <f t="shared" si="12"/>
        <v>Ireland</v>
      </c>
      <c r="K89" t="s">
        <v>111</v>
      </c>
      <c r="L89" s="16">
        <f t="shared" si="13"/>
        <v>0.13576158940397351</v>
      </c>
      <c r="M89" s="16">
        <f t="shared" si="14"/>
        <v>0.19039735099337748</v>
      </c>
      <c r="N89" s="16">
        <f t="shared" si="15"/>
        <v>0.20529801324503311</v>
      </c>
      <c r="O89" s="16">
        <f t="shared" si="16"/>
        <v>0.23013245033112584</v>
      </c>
      <c r="P89" s="16">
        <f t="shared" si="17"/>
        <v>0.23841059602649006</v>
      </c>
    </row>
    <row r="90" spans="1:16" x14ac:dyDescent="0.3">
      <c r="A90" s="5" t="s">
        <v>65</v>
      </c>
      <c r="B90" s="5" t="s">
        <v>48</v>
      </c>
      <c r="C90" s="5" t="s">
        <v>49</v>
      </c>
      <c r="D90" s="8">
        <v>46</v>
      </c>
      <c r="E90" s="8">
        <v>43</v>
      </c>
      <c r="F90" s="8">
        <v>41</v>
      </c>
      <c r="G90" s="8">
        <v>38</v>
      </c>
      <c r="H90" s="8">
        <v>33</v>
      </c>
      <c r="J90" t="str">
        <f t="shared" si="12"/>
        <v>Ireland</v>
      </c>
      <c r="K90" t="s">
        <v>112</v>
      </c>
      <c r="L90" s="16">
        <f t="shared" si="13"/>
        <v>0.22885572139303484</v>
      </c>
      <c r="M90" s="16">
        <f t="shared" si="14"/>
        <v>0.21393034825870647</v>
      </c>
      <c r="N90" s="16">
        <f t="shared" si="15"/>
        <v>0.20398009950248755</v>
      </c>
      <c r="O90" s="16">
        <f t="shared" si="16"/>
        <v>0.1890547263681592</v>
      </c>
      <c r="P90" s="16">
        <f t="shared" si="17"/>
        <v>0.16417910447761194</v>
      </c>
    </row>
    <row r="91" spans="1:16" x14ac:dyDescent="0.3">
      <c r="A91" s="5" t="s">
        <v>65</v>
      </c>
      <c r="B91" s="5" t="s">
        <v>50</v>
      </c>
      <c r="C91" s="5" t="s">
        <v>51</v>
      </c>
      <c r="D91" s="7">
        <v>67</v>
      </c>
      <c r="E91" s="7">
        <v>78</v>
      </c>
      <c r="F91" s="7">
        <v>79</v>
      </c>
      <c r="G91" s="7">
        <v>83</v>
      </c>
      <c r="H91" s="7">
        <v>92</v>
      </c>
      <c r="J91" t="str">
        <f t="shared" si="12"/>
        <v>Ireland</v>
      </c>
      <c r="K91" t="s">
        <v>113</v>
      </c>
      <c r="L91" s="16">
        <f t="shared" si="13"/>
        <v>0.16791979949874686</v>
      </c>
      <c r="M91" s="16">
        <f t="shared" si="14"/>
        <v>0.19548872180451127</v>
      </c>
      <c r="N91" s="16">
        <f t="shared" si="15"/>
        <v>0.19799498746867167</v>
      </c>
      <c r="O91" s="16">
        <f t="shared" si="16"/>
        <v>0.20802005012531327</v>
      </c>
      <c r="P91" s="16">
        <f t="shared" si="17"/>
        <v>0.23057644110275688</v>
      </c>
    </row>
    <row r="92" spans="1:16" x14ac:dyDescent="0.3">
      <c r="A92" s="5" t="s">
        <v>65</v>
      </c>
      <c r="B92" s="5" t="s">
        <v>52</v>
      </c>
      <c r="C92" s="5" t="s">
        <v>53</v>
      </c>
      <c r="D92" s="8">
        <v>31</v>
      </c>
      <c r="E92" s="8">
        <v>18</v>
      </c>
      <c r="F92" s="8">
        <v>16</v>
      </c>
      <c r="G92" s="8">
        <v>21</v>
      </c>
      <c r="H92" s="8">
        <v>28</v>
      </c>
      <c r="J92" t="str">
        <f t="shared" si="12"/>
        <v>Ireland</v>
      </c>
      <c r="K92" t="s">
        <v>114</v>
      </c>
      <c r="L92" s="16">
        <f t="shared" si="13"/>
        <v>0.27192982456140352</v>
      </c>
      <c r="M92" s="16">
        <f t="shared" si="14"/>
        <v>0.15789473684210525</v>
      </c>
      <c r="N92" s="16">
        <f t="shared" si="15"/>
        <v>0.14035087719298245</v>
      </c>
      <c r="O92" s="16">
        <f t="shared" si="16"/>
        <v>0.18421052631578946</v>
      </c>
      <c r="P92" s="16">
        <f t="shared" si="17"/>
        <v>0.24561403508771928</v>
      </c>
    </row>
    <row r="93" spans="1:16" x14ac:dyDescent="0.3">
      <c r="A93" s="5" t="s">
        <v>65</v>
      </c>
      <c r="B93" s="5" t="s">
        <v>54</v>
      </c>
      <c r="C93" s="5" t="s">
        <v>55</v>
      </c>
      <c r="D93" s="7">
        <v>46</v>
      </c>
      <c r="E93" s="7">
        <v>46</v>
      </c>
      <c r="F93" s="7">
        <v>59</v>
      </c>
      <c r="G93" s="7">
        <v>69</v>
      </c>
      <c r="H93" s="7">
        <v>75</v>
      </c>
      <c r="J93" t="str">
        <f t="shared" si="12"/>
        <v>Ireland</v>
      </c>
      <c r="K93" t="s">
        <v>115</v>
      </c>
      <c r="L93" s="16">
        <f t="shared" si="13"/>
        <v>0.15593220338983052</v>
      </c>
      <c r="M93" s="16">
        <f t="shared" si="14"/>
        <v>0.15593220338983052</v>
      </c>
      <c r="N93" s="16">
        <f t="shared" si="15"/>
        <v>0.2</v>
      </c>
      <c r="O93" s="16">
        <f t="shared" si="16"/>
        <v>0.23389830508474577</v>
      </c>
      <c r="P93" s="16">
        <f t="shared" si="17"/>
        <v>0.25423728813559321</v>
      </c>
    </row>
    <row r="94" spans="1:16" x14ac:dyDescent="0.3">
      <c r="A94" s="5" t="s">
        <v>65</v>
      </c>
      <c r="B94" s="5" t="s">
        <v>56</v>
      </c>
      <c r="C94" s="5" t="s">
        <v>57</v>
      </c>
      <c r="D94" s="8">
        <v>71</v>
      </c>
      <c r="E94" s="8">
        <v>83</v>
      </c>
      <c r="F94" s="8">
        <v>95</v>
      </c>
      <c r="G94" s="8">
        <v>110</v>
      </c>
      <c r="H94" s="8">
        <v>127</v>
      </c>
      <c r="J94" t="str">
        <f t="shared" si="12"/>
        <v>Ireland</v>
      </c>
      <c r="K94" t="s">
        <v>116</v>
      </c>
      <c r="L94" s="16">
        <f t="shared" si="13"/>
        <v>0.14609053497942387</v>
      </c>
      <c r="M94" s="16">
        <f t="shared" si="14"/>
        <v>0.17078189300411523</v>
      </c>
      <c r="N94" s="16">
        <f t="shared" si="15"/>
        <v>0.19547325102880658</v>
      </c>
      <c r="O94" s="16">
        <f t="shared" si="16"/>
        <v>0.22633744855967078</v>
      </c>
      <c r="P94" s="16">
        <f t="shared" si="17"/>
        <v>0.26131687242798352</v>
      </c>
    </row>
    <row r="95" spans="1:16" x14ac:dyDescent="0.3">
      <c r="A95" s="5" t="s">
        <v>66</v>
      </c>
      <c r="B95" s="5" t="s">
        <v>34</v>
      </c>
      <c r="C95" s="5" t="s">
        <v>35</v>
      </c>
      <c r="D95" s="7">
        <v>225</v>
      </c>
      <c r="E95" s="7">
        <v>216</v>
      </c>
      <c r="F95" s="7">
        <v>207</v>
      </c>
      <c r="G95" s="7">
        <v>188</v>
      </c>
      <c r="H95" s="7">
        <v>155</v>
      </c>
      <c r="J95" t="str">
        <f t="shared" si="12"/>
        <v>Greece</v>
      </c>
      <c r="K95" t="s">
        <v>105</v>
      </c>
      <c r="L95" s="16">
        <f t="shared" si="13"/>
        <v>0.22704339051463168</v>
      </c>
      <c r="M95" s="16">
        <f t="shared" si="14"/>
        <v>0.21796165489404642</v>
      </c>
      <c r="N95" s="16">
        <f t="shared" si="15"/>
        <v>0.20887991927346114</v>
      </c>
      <c r="O95" s="16">
        <f t="shared" si="16"/>
        <v>0.18970736629667004</v>
      </c>
      <c r="P95" s="16">
        <f t="shared" si="17"/>
        <v>0.15640766902119072</v>
      </c>
    </row>
    <row r="96" spans="1:16" x14ac:dyDescent="0.3">
      <c r="A96" s="5" t="s">
        <v>66</v>
      </c>
      <c r="B96" s="5" t="s">
        <v>36</v>
      </c>
      <c r="C96" s="5" t="s">
        <v>37</v>
      </c>
      <c r="D96" s="8">
        <v>43</v>
      </c>
      <c r="E96" s="8">
        <v>36</v>
      </c>
      <c r="F96" s="8">
        <v>36</v>
      </c>
      <c r="G96" s="8">
        <v>37</v>
      </c>
      <c r="H96" s="8">
        <v>30</v>
      </c>
      <c r="J96" t="str">
        <f t="shared" si="12"/>
        <v>Greece</v>
      </c>
      <c r="K96" t="s">
        <v>106</v>
      </c>
      <c r="L96" s="16">
        <f t="shared" si="13"/>
        <v>0.23626373626373626</v>
      </c>
      <c r="M96" s="16">
        <f t="shared" si="14"/>
        <v>0.19780219780219779</v>
      </c>
      <c r="N96" s="16">
        <f t="shared" si="15"/>
        <v>0.19780219780219779</v>
      </c>
      <c r="O96" s="16">
        <f t="shared" si="16"/>
        <v>0.2032967032967033</v>
      </c>
      <c r="P96" s="16">
        <f t="shared" si="17"/>
        <v>0.16483516483516483</v>
      </c>
    </row>
    <row r="97" spans="1:16" x14ac:dyDescent="0.3">
      <c r="A97" s="5" t="s">
        <v>66</v>
      </c>
      <c r="B97" s="5" t="s">
        <v>38</v>
      </c>
      <c r="C97" s="5" t="s">
        <v>39</v>
      </c>
      <c r="D97" s="7">
        <v>36</v>
      </c>
      <c r="E97" s="7">
        <v>37</v>
      </c>
      <c r="F97" s="7">
        <v>44</v>
      </c>
      <c r="G97" s="7">
        <v>51</v>
      </c>
      <c r="H97" s="7">
        <v>58</v>
      </c>
      <c r="J97" t="str">
        <f t="shared" si="12"/>
        <v>Greece</v>
      </c>
      <c r="K97" t="s">
        <v>107</v>
      </c>
      <c r="L97" s="16">
        <f t="shared" si="13"/>
        <v>0.15929203539823009</v>
      </c>
      <c r="M97" s="16">
        <f t="shared" si="14"/>
        <v>0.16371681415929204</v>
      </c>
      <c r="N97" s="16">
        <f t="shared" si="15"/>
        <v>0.19469026548672566</v>
      </c>
      <c r="O97" s="16">
        <f t="shared" si="16"/>
        <v>0.22566371681415928</v>
      </c>
      <c r="P97" s="16">
        <f t="shared" si="17"/>
        <v>0.25663716814159293</v>
      </c>
    </row>
    <row r="98" spans="1:16" x14ac:dyDescent="0.3">
      <c r="A98" s="5" t="s">
        <v>66</v>
      </c>
      <c r="B98" s="5" t="s">
        <v>40</v>
      </c>
      <c r="C98" s="5" t="s">
        <v>41</v>
      </c>
      <c r="D98" s="8">
        <v>339</v>
      </c>
      <c r="E98" s="8">
        <v>329</v>
      </c>
      <c r="F98" s="8">
        <v>295</v>
      </c>
      <c r="G98" s="8">
        <v>271</v>
      </c>
      <c r="H98" s="8">
        <v>241</v>
      </c>
      <c r="J98" t="str">
        <f t="shared" si="12"/>
        <v>Greece</v>
      </c>
      <c r="K98" t="s">
        <v>108</v>
      </c>
      <c r="L98" s="16">
        <f t="shared" si="13"/>
        <v>0.22983050847457628</v>
      </c>
      <c r="M98" s="16">
        <f t="shared" si="14"/>
        <v>0.22305084745762713</v>
      </c>
      <c r="N98" s="16">
        <f t="shared" si="15"/>
        <v>0.2</v>
      </c>
      <c r="O98" s="16">
        <f t="shared" si="16"/>
        <v>0.18372881355932202</v>
      </c>
      <c r="P98" s="16">
        <f t="shared" si="17"/>
        <v>0.16338983050847458</v>
      </c>
    </row>
    <row r="99" spans="1:16" x14ac:dyDescent="0.3">
      <c r="A99" s="5" t="s">
        <v>66</v>
      </c>
      <c r="B99" s="5" t="s">
        <v>42</v>
      </c>
      <c r="C99" s="5" t="s">
        <v>43</v>
      </c>
      <c r="D99" s="7">
        <v>29</v>
      </c>
      <c r="E99" s="7">
        <v>39</v>
      </c>
      <c r="F99" s="7">
        <v>41</v>
      </c>
      <c r="G99" s="7">
        <v>36</v>
      </c>
      <c r="H99" s="7">
        <v>44</v>
      </c>
      <c r="J99" t="str">
        <f t="shared" si="12"/>
        <v>Greece</v>
      </c>
      <c r="K99" t="s">
        <v>109</v>
      </c>
      <c r="L99" s="16">
        <f t="shared" si="13"/>
        <v>0.15343915343915343</v>
      </c>
      <c r="M99" s="16">
        <f t="shared" si="14"/>
        <v>0.20634920634920634</v>
      </c>
      <c r="N99" s="16">
        <f t="shared" si="15"/>
        <v>0.21693121693121692</v>
      </c>
      <c r="O99" s="16">
        <f t="shared" si="16"/>
        <v>0.19047619047619047</v>
      </c>
      <c r="P99" s="16">
        <f t="shared" si="17"/>
        <v>0.23280423280423279</v>
      </c>
    </row>
    <row r="100" spans="1:16" x14ac:dyDescent="0.3">
      <c r="A100" s="5" t="s">
        <v>66</v>
      </c>
      <c r="B100" s="5" t="s">
        <v>44</v>
      </c>
      <c r="C100" s="5" t="s">
        <v>45</v>
      </c>
      <c r="D100" s="8">
        <v>65</v>
      </c>
      <c r="E100" s="8">
        <v>72</v>
      </c>
      <c r="F100" s="8">
        <v>68</v>
      </c>
      <c r="G100" s="8">
        <v>63</v>
      </c>
      <c r="H100" s="8">
        <v>59</v>
      </c>
      <c r="J100" t="str">
        <f t="shared" si="12"/>
        <v>Greece</v>
      </c>
      <c r="K100" t="s">
        <v>110</v>
      </c>
      <c r="L100" s="16">
        <f t="shared" si="13"/>
        <v>0.19877675840978593</v>
      </c>
      <c r="M100" s="16">
        <f t="shared" si="14"/>
        <v>0.22018348623853212</v>
      </c>
      <c r="N100" s="16">
        <f t="shared" si="15"/>
        <v>0.20795107033639143</v>
      </c>
      <c r="O100" s="16">
        <f t="shared" si="16"/>
        <v>0.19266055045871561</v>
      </c>
      <c r="P100" s="16">
        <f t="shared" si="17"/>
        <v>0.18042813455657492</v>
      </c>
    </row>
    <row r="101" spans="1:16" x14ac:dyDescent="0.3">
      <c r="A101" s="5" t="s">
        <v>66</v>
      </c>
      <c r="B101" s="5" t="s">
        <v>46</v>
      </c>
      <c r="C101" s="5" t="s">
        <v>47</v>
      </c>
      <c r="D101" s="7">
        <v>55</v>
      </c>
      <c r="E101" s="7">
        <v>71</v>
      </c>
      <c r="F101" s="7">
        <v>83</v>
      </c>
      <c r="G101" s="7">
        <v>101</v>
      </c>
      <c r="H101" s="7">
        <v>125</v>
      </c>
      <c r="J101" t="str">
        <f t="shared" si="12"/>
        <v>Greece</v>
      </c>
      <c r="K101" t="s">
        <v>111</v>
      </c>
      <c r="L101" s="16">
        <f t="shared" si="13"/>
        <v>0.12643678160919541</v>
      </c>
      <c r="M101" s="16">
        <f t="shared" si="14"/>
        <v>0.16321839080459771</v>
      </c>
      <c r="N101" s="16">
        <f t="shared" si="15"/>
        <v>0.19080459770114944</v>
      </c>
      <c r="O101" s="16">
        <f t="shared" si="16"/>
        <v>0.23218390804597702</v>
      </c>
      <c r="P101" s="16">
        <f t="shared" si="17"/>
        <v>0.28735632183908044</v>
      </c>
    </row>
    <row r="102" spans="1:16" x14ac:dyDescent="0.3">
      <c r="A102" s="5" t="s">
        <v>66</v>
      </c>
      <c r="B102" s="5" t="s">
        <v>48</v>
      </c>
      <c r="C102" s="5" t="s">
        <v>49</v>
      </c>
      <c r="D102" s="8">
        <v>36</v>
      </c>
      <c r="E102" s="8">
        <v>36</v>
      </c>
      <c r="F102" s="8">
        <v>37</v>
      </c>
      <c r="G102" s="8">
        <v>38</v>
      </c>
      <c r="H102" s="8">
        <v>32</v>
      </c>
      <c r="J102" t="str">
        <f t="shared" si="12"/>
        <v>Greece</v>
      </c>
      <c r="K102" t="s">
        <v>112</v>
      </c>
      <c r="L102" s="16">
        <f t="shared" si="13"/>
        <v>0.2011173184357542</v>
      </c>
      <c r="M102" s="16">
        <f t="shared" si="14"/>
        <v>0.2011173184357542</v>
      </c>
      <c r="N102" s="16">
        <f t="shared" si="15"/>
        <v>0.20670391061452514</v>
      </c>
      <c r="O102" s="16">
        <f t="shared" si="16"/>
        <v>0.21229050279329609</v>
      </c>
      <c r="P102" s="16">
        <f t="shared" si="17"/>
        <v>0.1787709497206704</v>
      </c>
    </row>
    <row r="103" spans="1:16" x14ac:dyDescent="0.3">
      <c r="A103" s="5" t="s">
        <v>66</v>
      </c>
      <c r="B103" s="5" t="s">
        <v>50</v>
      </c>
      <c r="C103" s="5" t="s">
        <v>51</v>
      </c>
      <c r="D103" s="7">
        <v>25</v>
      </c>
      <c r="E103" s="7">
        <v>25</v>
      </c>
      <c r="F103" s="7">
        <v>35</v>
      </c>
      <c r="G103" s="7">
        <v>40</v>
      </c>
      <c r="H103" s="7">
        <v>53</v>
      </c>
      <c r="J103" t="str">
        <f t="shared" si="12"/>
        <v>Greece</v>
      </c>
      <c r="K103" t="s">
        <v>113</v>
      </c>
      <c r="L103" s="16">
        <f t="shared" si="13"/>
        <v>0.1404494382022472</v>
      </c>
      <c r="M103" s="16">
        <f t="shared" si="14"/>
        <v>0.1404494382022472</v>
      </c>
      <c r="N103" s="16">
        <f t="shared" si="15"/>
        <v>0.19662921348314608</v>
      </c>
      <c r="O103" s="16">
        <f t="shared" si="16"/>
        <v>0.2247191011235955</v>
      </c>
      <c r="P103" s="16">
        <f t="shared" si="17"/>
        <v>0.29775280898876405</v>
      </c>
    </row>
    <row r="104" spans="1:16" x14ac:dyDescent="0.3">
      <c r="A104" s="5" t="s">
        <v>66</v>
      </c>
      <c r="B104" s="5" t="s">
        <v>52</v>
      </c>
      <c r="C104" s="5" t="s">
        <v>53</v>
      </c>
      <c r="D104" s="8">
        <v>13</v>
      </c>
      <c r="E104" s="8">
        <v>15</v>
      </c>
      <c r="F104" s="8">
        <v>18</v>
      </c>
      <c r="G104" s="8">
        <v>29</v>
      </c>
      <c r="H104" s="8">
        <v>44</v>
      </c>
      <c r="J104" t="str">
        <f t="shared" si="12"/>
        <v>Greece</v>
      </c>
      <c r="K104" t="s">
        <v>114</v>
      </c>
      <c r="L104" s="16">
        <f t="shared" si="13"/>
        <v>0.1092436974789916</v>
      </c>
      <c r="M104" s="16">
        <f t="shared" si="14"/>
        <v>0.12605042016806722</v>
      </c>
      <c r="N104" s="16">
        <f t="shared" si="15"/>
        <v>0.15126050420168066</v>
      </c>
      <c r="O104" s="16">
        <f t="shared" si="16"/>
        <v>0.24369747899159663</v>
      </c>
      <c r="P104" s="16">
        <f t="shared" si="17"/>
        <v>0.36974789915966388</v>
      </c>
    </row>
    <row r="105" spans="1:16" x14ac:dyDescent="0.3">
      <c r="A105" s="5" t="s">
        <v>66</v>
      </c>
      <c r="B105" s="5" t="s">
        <v>54</v>
      </c>
      <c r="C105" s="5" t="s">
        <v>55</v>
      </c>
      <c r="D105" s="7">
        <v>87</v>
      </c>
      <c r="E105" s="7">
        <v>77</v>
      </c>
      <c r="F105" s="7">
        <v>82</v>
      </c>
      <c r="G105" s="7">
        <v>91</v>
      </c>
      <c r="H105" s="7">
        <v>94</v>
      </c>
      <c r="J105" t="str">
        <f t="shared" si="12"/>
        <v>Greece</v>
      </c>
      <c r="K105" t="s">
        <v>115</v>
      </c>
      <c r="L105" s="16">
        <f t="shared" si="13"/>
        <v>0.20185614849187936</v>
      </c>
      <c r="M105" s="16">
        <f t="shared" si="14"/>
        <v>0.17865429234338748</v>
      </c>
      <c r="N105" s="16">
        <f t="shared" si="15"/>
        <v>0.1902552204176334</v>
      </c>
      <c r="O105" s="16">
        <f t="shared" si="16"/>
        <v>0.21113689095127611</v>
      </c>
      <c r="P105" s="16">
        <f t="shared" si="17"/>
        <v>0.21809744779582366</v>
      </c>
    </row>
    <row r="106" spans="1:16" x14ac:dyDescent="0.3">
      <c r="A106" s="5" t="s">
        <v>66</v>
      </c>
      <c r="B106" s="5" t="s">
        <v>56</v>
      </c>
      <c r="C106" s="5" t="s">
        <v>57</v>
      </c>
      <c r="D106" s="8">
        <v>47</v>
      </c>
      <c r="E106" s="8">
        <v>48</v>
      </c>
      <c r="F106" s="8">
        <v>54</v>
      </c>
      <c r="G106" s="8">
        <v>57</v>
      </c>
      <c r="H106" s="8">
        <v>66</v>
      </c>
      <c r="J106" t="str">
        <f t="shared" si="12"/>
        <v>Greece</v>
      </c>
      <c r="K106" t="s">
        <v>116</v>
      </c>
      <c r="L106" s="16">
        <f t="shared" si="13"/>
        <v>0.17279411764705882</v>
      </c>
      <c r="M106" s="16">
        <f t="shared" si="14"/>
        <v>0.17647058823529413</v>
      </c>
      <c r="N106" s="16">
        <f t="shared" si="15"/>
        <v>0.19852941176470587</v>
      </c>
      <c r="O106" s="16">
        <f t="shared" si="16"/>
        <v>0.20955882352941177</v>
      </c>
      <c r="P106" s="16">
        <f t="shared" si="17"/>
        <v>0.24264705882352941</v>
      </c>
    </row>
    <row r="107" spans="1:16" x14ac:dyDescent="0.3">
      <c r="A107" s="5" t="s">
        <v>67</v>
      </c>
      <c r="B107" s="5" t="s">
        <v>34</v>
      </c>
      <c r="C107" s="5" t="s">
        <v>35</v>
      </c>
      <c r="D107" s="7">
        <v>194</v>
      </c>
      <c r="E107" s="7">
        <v>173</v>
      </c>
      <c r="F107" s="7">
        <v>157</v>
      </c>
      <c r="G107" s="7">
        <v>147</v>
      </c>
      <c r="H107" s="7">
        <v>127</v>
      </c>
      <c r="J107" t="str">
        <f t="shared" si="12"/>
        <v>Spain</v>
      </c>
      <c r="K107" t="s">
        <v>105</v>
      </c>
      <c r="L107" s="16">
        <f t="shared" si="13"/>
        <v>0.24310776942355888</v>
      </c>
      <c r="M107" s="16">
        <f t="shared" si="14"/>
        <v>0.21679197994987467</v>
      </c>
      <c r="N107" s="16">
        <f t="shared" si="15"/>
        <v>0.19674185463659147</v>
      </c>
      <c r="O107" s="16">
        <f t="shared" si="16"/>
        <v>0.18421052631578946</v>
      </c>
      <c r="P107" s="16">
        <f t="shared" si="17"/>
        <v>0.15914786967418545</v>
      </c>
    </row>
    <row r="108" spans="1:16" x14ac:dyDescent="0.3">
      <c r="A108" s="5" t="s">
        <v>67</v>
      </c>
      <c r="B108" s="5" t="s">
        <v>36</v>
      </c>
      <c r="C108" s="5" t="s">
        <v>37</v>
      </c>
      <c r="D108" s="8">
        <v>24</v>
      </c>
      <c r="E108" s="8">
        <v>22</v>
      </c>
      <c r="F108" s="8">
        <v>20</v>
      </c>
      <c r="G108" s="8">
        <v>20</v>
      </c>
      <c r="H108" s="8">
        <v>15</v>
      </c>
      <c r="J108" t="str">
        <f t="shared" si="12"/>
        <v>Spain</v>
      </c>
      <c r="K108" t="s">
        <v>106</v>
      </c>
      <c r="L108" s="16">
        <f t="shared" si="13"/>
        <v>0.23762376237623761</v>
      </c>
      <c r="M108" s="16">
        <f t="shared" si="14"/>
        <v>0.21782178217821782</v>
      </c>
      <c r="N108" s="16">
        <f t="shared" si="15"/>
        <v>0.19801980198019803</v>
      </c>
      <c r="O108" s="16">
        <f t="shared" si="16"/>
        <v>0.19801980198019803</v>
      </c>
      <c r="P108" s="16">
        <f t="shared" si="17"/>
        <v>0.14851485148514851</v>
      </c>
    </row>
    <row r="109" spans="1:16" x14ac:dyDescent="0.3">
      <c r="A109" s="5" t="s">
        <v>67</v>
      </c>
      <c r="B109" s="5" t="s">
        <v>38</v>
      </c>
      <c r="C109" s="5" t="s">
        <v>39</v>
      </c>
      <c r="D109" s="7">
        <v>43</v>
      </c>
      <c r="E109" s="7">
        <v>46</v>
      </c>
      <c r="F109" s="7">
        <v>50</v>
      </c>
      <c r="G109" s="7">
        <v>54</v>
      </c>
      <c r="H109" s="7">
        <v>54</v>
      </c>
      <c r="J109" t="str">
        <f t="shared" si="12"/>
        <v>Spain</v>
      </c>
      <c r="K109" t="s">
        <v>107</v>
      </c>
      <c r="L109" s="16">
        <f t="shared" si="13"/>
        <v>0.17408906882591094</v>
      </c>
      <c r="M109" s="16">
        <f t="shared" si="14"/>
        <v>0.18623481781376519</v>
      </c>
      <c r="N109" s="16">
        <f t="shared" si="15"/>
        <v>0.20242914979757085</v>
      </c>
      <c r="O109" s="16">
        <f t="shared" si="16"/>
        <v>0.21862348178137653</v>
      </c>
      <c r="P109" s="16">
        <f t="shared" si="17"/>
        <v>0.21862348178137653</v>
      </c>
    </row>
    <row r="110" spans="1:16" x14ac:dyDescent="0.3">
      <c r="A110" s="5" t="s">
        <v>67</v>
      </c>
      <c r="B110" s="5" t="s">
        <v>40</v>
      </c>
      <c r="C110" s="5" t="s">
        <v>41</v>
      </c>
      <c r="D110" s="8">
        <v>386</v>
      </c>
      <c r="E110" s="8">
        <v>348</v>
      </c>
      <c r="F110" s="8">
        <v>328</v>
      </c>
      <c r="G110" s="8">
        <v>300</v>
      </c>
      <c r="H110" s="8">
        <v>291</v>
      </c>
      <c r="J110" t="str">
        <f t="shared" si="12"/>
        <v>Spain</v>
      </c>
      <c r="K110" t="s">
        <v>108</v>
      </c>
      <c r="L110" s="16">
        <f t="shared" si="13"/>
        <v>0.23351482153660011</v>
      </c>
      <c r="M110" s="16">
        <f t="shared" si="14"/>
        <v>0.21052631578947367</v>
      </c>
      <c r="N110" s="16">
        <f t="shared" si="15"/>
        <v>0.1984271022383545</v>
      </c>
      <c r="O110" s="16">
        <f t="shared" si="16"/>
        <v>0.18148820326678766</v>
      </c>
      <c r="P110" s="16">
        <f t="shared" si="17"/>
        <v>0.17604355716878403</v>
      </c>
    </row>
    <row r="111" spans="1:16" x14ac:dyDescent="0.3">
      <c r="A111" s="5" t="s">
        <v>67</v>
      </c>
      <c r="B111" s="5" t="s">
        <v>42</v>
      </c>
      <c r="C111" s="5" t="s">
        <v>43</v>
      </c>
      <c r="D111" s="7">
        <v>35</v>
      </c>
      <c r="E111" s="7">
        <v>38</v>
      </c>
      <c r="F111" s="7">
        <v>39</v>
      </c>
      <c r="G111" s="7">
        <v>40</v>
      </c>
      <c r="H111" s="7">
        <v>50</v>
      </c>
      <c r="J111" t="str">
        <f t="shared" si="12"/>
        <v>Spain</v>
      </c>
      <c r="K111" t="s">
        <v>109</v>
      </c>
      <c r="L111" s="16">
        <f t="shared" si="13"/>
        <v>0.17326732673267325</v>
      </c>
      <c r="M111" s="16">
        <f t="shared" si="14"/>
        <v>0.18811881188118812</v>
      </c>
      <c r="N111" s="16">
        <f t="shared" si="15"/>
        <v>0.19306930693069307</v>
      </c>
      <c r="O111" s="16">
        <f t="shared" si="16"/>
        <v>0.19801980198019803</v>
      </c>
      <c r="P111" s="16">
        <f t="shared" si="17"/>
        <v>0.24752475247524752</v>
      </c>
    </row>
    <row r="112" spans="1:16" x14ac:dyDescent="0.3">
      <c r="A112" s="5" t="s">
        <v>67</v>
      </c>
      <c r="B112" s="5" t="s">
        <v>44</v>
      </c>
      <c r="C112" s="5" t="s">
        <v>45</v>
      </c>
      <c r="D112" s="8">
        <v>31</v>
      </c>
      <c r="E112" s="8">
        <v>37</v>
      </c>
      <c r="F112" s="8">
        <v>40</v>
      </c>
      <c r="G112" s="8">
        <v>37</v>
      </c>
      <c r="H112" s="8">
        <v>33</v>
      </c>
      <c r="J112" t="str">
        <f t="shared" si="12"/>
        <v>Spain</v>
      </c>
      <c r="K112" t="s">
        <v>110</v>
      </c>
      <c r="L112" s="16">
        <f t="shared" si="13"/>
        <v>0.17415730337078653</v>
      </c>
      <c r="M112" s="16">
        <f t="shared" si="14"/>
        <v>0.20786516853932585</v>
      </c>
      <c r="N112" s="16">
        <f t="shared" si="15"/>
        <v>0.2247191011235955</v>
      </c>
      <c r="O112" s="16">
        <f t="shared" si="16"/>
        <v>0.20786516853932585</v>
      </c>
      <c r="P112" s="16">
        <f t="shared" si="17"/>
        <v>0.1853932584269663</v>
      </c>
    </row>
    <row r="113" spans="1:16" x14ac:dyDescent="0.3">
      <c r="A113" s="5" t="s">
        <v>67</v>
      </c>
      <c r="B113" s="5" t="s">
        <v>46</v>
      </c>
      <c r="C113" s="5" t="s">
        <v>47</v>
      </c>
      <c r="D113" s="7">
        <v>89</v>
      </c>
      <c r="E113" s="7">
        <v>104</v>
      </c>
      <c r="F113" s="7">
        <v>109</v>
      </c>
      <c r="G113" s="7">
        <v>124</v>
      </c>
      <c r="H113" s="7">
        <v>125</v>
      </c>
      <c r="J113" t="str">
        <f t="shared" si="12"/>
        <v>Spain</v>
      </c>
      <c r="K113" t="s">
        <v>111</v>
      </c>
      <c r="L113" s="16">
        <f t="shared" si="13"/>
        <v>0.16152450090744103</v>
      </c>
      <c r="M113" s="16">
        <f t="shared" si="14"/>
        <v>0.18874773139745918</v>
      </c>
      <c r="N113" s="16">
        <f t="shared" si="15"/>
        <v>0.19782214156079855</v>
      </c>
      <c r="O113" s="16">
        <f t="shared" si="16"/>
        <v>0.22504537205081671</v>
      </c>
      <c r="P113" s="16">
        <f t="shared" si="17"/>
        <v>0.22686025408348456</v>
      </c>
    </row>
    <row r="114" spans="1:16" x14ac:dyDescent="0.3">
      <c r="A114" s="5" t="s">
        <v>67</v>
      </c>
      <c r="B114" s="5" t="s">
        <v>48</v>
      </c>
      <c r="C114" s="5" t="s">
        <v>49</v>
      </c>
      <c r="D114" s="8">
        <v>34</v>
      </c>
      <c r="E114" s="8">
        <v>33</v>
      </c>
      <c r="F114" s="8">
        <v>31</v>
      </c>
      <c r="G114" s="8">
        <v>29</v>
      </c>
      <c r="H114" s="8">
        <v>24</v>
      </c>
      <c r="J114" t="str">
        <f t="shared" si="12"/>
        <v>Spain</v>
      </c>
      <c r="K114" t="s">
        <v>112</v>
      </c>
      <c r="L114" s="16">
        <f t="shared" si="13"/>
        <v>0.2251655629139073</v>
      </c>
      <c r="M114" s="16">
        <f t="shared" si="14"/>
        <v>0.2185430463576159</v>
      </c>
      <c r="N114" s="16">
        <f t="shared" si="15"/>
        <v>0.20529801324503311</v>
      </c>
      <c r="O114" s="16">
        <f t="shared" si="16"/>
        <v>0.19205298013245034</v>
      </c>
      <c r="P114" s="16">
        <f t="shared" si="17"/>
        <v>0.15894039735099338</v>
      </c>
    </row>
    <row r="115" spans="1:16" x14ac:dyDescent="0.3">
      <c r="A115" s="5" t="s">
        <v>67</v>
      </c>
      <c r="B115" s="5" t="s">
        <v>50</v>
      </c>
      <c r="C115" s="5" t="s">
        <v>51</v>
      </c>
      <c r="D115" s="7">
        <v>40</v>
      </c>
      <c r="E115" s="7">
        <v>47</v>
      </c>
      <c r="F115" s="7">
        <v>54</v>
      </c>
      <c r="G115" s="7">
        <v>61</v>
      </c>
      <c r="H115" s="7">
        <v>68</v>
      </c>
      <c r="J115" t="str">
        <f t="shared" si="12"/>
        <v>Spain</v>
      </c>
      <c r="K115" t="s">
        <v>113</v>
      </c>
      <c r="L115" s="16">
        <f t="shared" si="13"/>
        <v>0.14814814814814814</v>
      </c>
      <c r="M115" s="16">
        <f t="shared" si="14"/>
        <v>0.17407407407407408</v>
      </c>
      <c r="N115" s="16">
        <f t="shared" si="15"/>
        <v>0.2</v>
      </c>
      <c r="O115" s="16">
        <f t="shared" si="16"/>
        <v>0.22592592592592592</v>
      </c>
      <c r="P115" s="16">
        <f t="shared" si="17"/>
        <v>0.25185185185185183</v>
      </c>
    </row>
    <row r="116" spans="1:16" x14ac:dyDescent="0.3">
      <c r="A116" s="5" t="s">
        <v>67</v>
      </c>
      <c r="B116" s="5" t="s">
        <v>52</v>
      </c>
      <c r="C116" s="5" t="s">
        <v>53</v>
      </c>
      <c r="D116" s="8">
        <v>6</v>
      </c>
      <c r="E116" s="8">
        <v>7</v>
      </c>
      <c r="F116" s="8">
        <v>10</v>
      </c>
      <c r="G116" s="8">
        <v>11</v>
      </c>
      <c r="H116" s="8">
        <v>23</v>
      </c>
      <c r="J116" t="str">
        <f t="shared" si="12"/>
        <v>Spain</v>
      </c>
      <c r="K116" t="s">
        <v>114</v>
      </c>
      <c r="L116" s="16">
        <f t="shared" si="13"/>
        <v>0.10526315789473684</v>
      </c>
      <c r="M116" s="16">
        <f t="shared" si="14"/>
        <v>0.12280701754385964</v>
      </c>
      <c r="N116" s="16">
        <f t="shared" si="15"/>
        <v>0.17543859649122806</v>
      </c>
      <c r="O116" s="16">
        <f t="shared" si="16"/>
        <v>0.19298245614035087</v>
      </c>
      <c r="P116" s="16">
        <f t="shared" si="17"/>
        <v>0.40350877192982454</v>
      </c>
    </row>
    <row r="117" spans="1:16" x14ac:dyDescent="0.3">
      <c r="A117" s="5" t="s">
        <v>67</v>
      </c>
      <c r="B117" s="5" t="s">
        <v>54</v>
      </c>
      <c r="C117" s="5" t="s">
        <v>55</v>
      </c>
      <c r="D117" s="7">
        <v>53</v>
      </c>
      <c r="E117" s="7">
        <v>72</v>
      </c>
      <c r="F117" s="7">
        <v>86</v>
      </c>
      <c r="G117" s="7">
        <v>99</v>
      </c>
      <c r="H117" s="7">
        <v>113</v>
      </c>
      <c r="J117" t="str">
        <f t="shared" si="12"/>
        <v>Spain</v>
      </c>
      <c r="K117" t="s">
        <v>115</v>
      </c>
      <c r="L117" s="16">
        <f t="shared" si="13"/>
        <v>0.12529550827423167</v>
      </c>
      <c r="M117" s="16">
        <f t="shared" si="14"/>
        <v>0.1702127659574468</v>
      </c>
      <c r="N117" s="16">
        <f t="shared" si="15"/>
        <v>0.20330969267139479</v>
      </c>
      <c r="O117" s="16">
        <f t="shared" si="16"/>
        <v>0.23404255319148937</v>
      </c>
      <c r="P117" s="16">
        <f t="shared" si="17"/>
        <v>0.26713947990543735</v>
      </c>
    </row>
    <row r="118" spans="1:16" x14ac:dyDescent="0.3">
      <c r="A118" s="5" t="s">
        <v>67</v>
      </c>
      <c r="B118" s="5" t="s">
        <v>56</v>
      </c>
      <c r="C118" s="5" t="s">
        <v>57</v>
      </c>
      <c r="D118" s="8">
        <v>63</v>
      </c>
      <c r="E118" s="8">
        <v>73</v>
      </c>
      <c r="F118" s="8">
        <v>77</v>
      </c>
      <c r="G118" s="8">
        <v>77</v>
      </c>
      <c r="H118" s="8">
        <v>77</v>
      </c>
      <c r="J118" t="str">
        <f t="shared" si="12"/>
        <v>Spain</v>
      </c>
      <c r="K118" t="s">
        <v>116</v>
      </c>
      <c r="L118" s="16">
        <f t="shared" si="13"/>
        <v>0.17166212534059946</v>
      </c>
      <c r="M118" s="16">
        <f t="shared" si="14"/>
        <v>0.1989100817438692</v>
      </c>
      <c r="N118" s="16">
        <f t="shared" si="15"/>
        <v>0.2098092643051771</v>
      </c>
      <c r="O118" s="16">
        <f t="shared" si="16"/>
        <v>0.2098092643051771</v>
      </c>
      <c r="P118" s="16">
        <f t="shared" si="17"/>
        <v>0.2098092643051771</v>
      </c>
    </row>
    <row r="119" spans="1:16" x14ac:dyDescent="0.3">
      <c r="A119" s="5" t="s">
        <v>68</v>
      </c>
      <c r="B119" s="5" t="s">
        <v>34</v>
      </c>
      <c r="C119" s="5" t="s">
        <v>35</v>
      </c>
      <c r="D119" s="7">
        <v>147</v>
      </c>
      <c r="E119" s="7">
        <v>150</v>
      </c>
      <c r="F119" s="7">
        <v>154</v>
      </c>
      <c r="G119" s="7">
        <v>150</v>
      </c>
      <c r="H119" s="7">
        <v>128</v>
      </c>
      <c r="J119" t="str">
        <f t="shared" si="12"/>
        <v>France</v>
      </c>
      <c r="K119" t="s">
        <v>105</v>
      </c>
      <c r="L119" s="16">
        <f t="shared" si="13"/>
        <v>0.20164609053497942</v>
      </c>
      <c r="M119" s="16">
        <f t="shared" si="14"/>
        <v>0.20576131687242799</v>
      </c>
      <c r="N119" s="16">
        <f t="shared" si="15"/>
        <v>0.2112482853223594</v>
      </c>
      <c r="O119" s="16">
        <f t="shared" si="16"/>
        <v>0.20576131687242799</v>
      </c>
      <c r="P119" s="16">
        <f t="shared" si="17"/>
        <v>0.1755829903978052</v>
      </c>
    </row>
    <row r="120" spans="1:16" x14ac:dyDescent="0.3">
      <c r="A120" s="5" t="s">
        <v>68</v>
      </c>
      <c r="B120" s="5" t="s">
        <v>36</v>
      </c>
      <c r="C120" s="5" t="s">
        <v>37</v>
      </c>
      <c r="D120" s="8">
        <v>35</v>
      </c>
      <c r="E120" s="8">
        <v>30</v>
      </c>
      <c r="F120" s="8">
        <v>28</v>
      </c>
      <c r="G120" s="8">
        <v>24</v>
      </c>
      <c r="H120" s="8">
        <v>20</v>
      </c>
      <c r="J120" t="str">
        <f t="shared" si="12"/>
        <v>France</v>
      </c>
      <c r="K120" t="s">
        <v>106</v>
      </c>
      <c r="L120" s="16">
        <f t="shared" si="13"/>
        <v>0.25547445255474455</v>
      </c>
      <c r="M120" s="16">
        <f t="shared" si="14"/>
        <v>0.21897810218978103</v>
      </c>
      <c r="N120" s="16">
        <f t="shared" si="15"/>
        <v>0.20437956204379562</v>
      </c>
      <c r="O120" s="16">
        <f t="shared" si="16"/>
        <v>0.17518248175182483</v>
      </c>
      <c r="P120" s="16">
        <f t="shared" si="17"/>
        <v>0.145985401459854</v>
      </c>
    </row>
    <row r="121" spans="1:16" x14ac:dyDescent="0.3">
      <c r="A121" s="5" t="s">
        <v>68</v>
      </c>
      <c r="B121" s="5" t="s">
        <v>38</v>
      </c>
      <c r="C121" s="5" t="s">
        <v>39</v>
      </c>
      <c r="D121" s="7">
        <v>43</v>
      </c>
      <c r="E121" s="7">
        <v>37</v>
      </c>
      <c r="F121" s="7">
        <v>38</v>
      </c>
      <c r="G121" s="7">
        <v>39</v>
      </c>
      <c r="H121" s="7">
        <v>41</v>
      </c>
      <c r="J121" t="str">
        <f t="shared" si="12"/>
        <v>France</v>
      </c>
      <c r="K121" t="s">
        <v>107</v>
      </c>
      <c r="L121" s="16">
        <f t="shared" si="13"/>
        <v>0.21717171717171718</v>
      </c>
      <c r="M121" s="16">
        <f t="shared" si="14"/>
        <v>0.18686868686868688</v>
      </c>
      <c r="N121" s="16">
        <f t="shared" si="15"/>
        <v>0.19191919191919191</v>
      </c>
      <c r="O121" s="16">
        <f t="shared" si="16"/>
        <v>0.19696969696969696</v>
      </c>
      <c r="P121" s="16">
        <f t="shared" si="17"/>
        <v>0.20707070707070707</v>
      </c>
    </row>
    <row r="122" spans="1:16" x14ac:dyDescent="0.3">
      <c r="A122" s="5" t="s">
        <v>68</v>
      </c>
      <c r="B122" s="5" t="s">
        <v>40</v>
      </c>
      <c r="C122" s="5" t="s">
        <v>41</v>
      </c>
      <c r="D122" s="8">
        <v>347</v>
      </c>
      <c r="E122" s="8">
        <v>328</v>
      </c>
      <c r="F122" s="8">
        <v>305</v>
      </c>
      <c r="G122" s="8">
        <v>279</v>
      </c>
      <c r="H122" s="8">
        <v>255</v>
      </c>
      <c r="J122" t="str">
        <f t="shared" si="12"/>
        <v>France</v>
      </c>
      <c r="K122" t="s">
        <v>108</v>
      </c>
      <c r="L122" s="16">
        <f t="shared" si="13"/>
        <v>0.22919418758256274</v>
      </c>
      <c r="M122" s="16">
        <f t="shared" si="14"/>
        <v>0.2166446499339498</v>
      </c>
      <c r="N122" s="16">
        <f t="shared" si="15"/>
        <v>0.20145310435931307</v>
      </c>
      <c r="O122" s="16">
        <f t="shared" si="16"/>
        <v>0.18428005284015853</v>
      </c>
      <c r="P122" s="16">
        <f t="shared" si="17"/>
        <v>0.16842800528401586</v>
      </c>
    </row>
    <row r="123" spans="1:16" x14ac:dyDescent="0.3">
      <c r="A123" s="5" t="s">
        <v>68</v>
      </c>
      <c r="B123" s="5" t="s">
        <v>42</v>
      </c>
      <c r="C123" s="5" t="s">
        <v>43</v>
      </c>
      <c r="D123" s="7">
        <v>34</v>
      </c>
      <c r="E123" s="7">
        <v>40</v>
      </c>
      <c r="F123" s="7">
        <v>43</v>
      </c>
      <c r="G123" s="7">
        <v>47</v>
      </c>
      <c r="H123" s="7">
        <v>58</v>
      </c>
      <c r="J123" t="str">
        <f t="shared" si="12"/>
        <v>France</v>
      </c>
      <c r="K123" t="s">
        <v>109</v>
      </c>
      <c r="L123" s="16">
        <f t="shared" si="13"/>
        <v>0.15315315315315314</v>
      </c>
      <c r="M123" s="16">
        <f t="shared" si="14"/>
        <v>0.18018018018018017</v>
      </c>
      <c r="N123" s="16">
        <f t="shared" si="15"/>
        <v>0.19369369369369369</v>
      </c>
      <c r="O123" s="16">
        <f t="shared" si="16"/>
        <v>0.21171171171171171</v>
      </c>
      <c r="P123" s="16">
        <f t="shared" si="17"/>
        <v>0.26126126126126126</v>
      </c>
    </row>
    <row r="124" spans="1:16" x14ac:dyDescent="0.3">
      <c r="A124" s="5" t="s">
        <v>68</v>
      </c>
      <c r="B124" s="5" t="s">
        <v>44</v>
      </c>
      <c r="C124" s="5" t="s">
        <v>45</v>
      </c>
      <c r="D124" s="8">
        <v>15</v>
      </c>
      <c r="E124" s="8">
        <v>16</v>
      </c>
      <c r="F124" s="8">
        <v>18</v>
      </c>
      <c r="G124" s="8">
        <v>16</v>
      </c>
      <c r="H124" s="8">
        <v>15</v>
      </c>
      <c r="J124" t="str">
        <f t="shared" si="12"/>
        <v>France</v>
      </c>
      <c r="K124" t="s">
        <v>110</v>
      </c>
      <c r="L124" s="16">
        <f t="shared" si="13"/>
        <v>0.1875</v>
      </c>
      <c r="M124" s="16">
        <f t="shared" si="14"/>
        <v>0.2</v>
      </c>
      <c r="N124" s="16">
        <f t="shared" si="15"/>
        <v>0.22500000000000001</v>
      </c>
      <c r="O124" s="16">
        <f t="shared" si="16"/>
        <v>0.2</v>
      </c>
      <c r="P124" s="16">
        <f t="shared" si="17"/>
        <v>0.1875</v>
      </c>
    </row>
    <row r="125" spans="1:16" x14ac:dyDescent="0.3">
      <c r="A125" s="5" t="s">
        <v>68</v>
      </c>
      <c r="B125" s="5" t="s">
        <v>46</v>
      </c>
      <c r="C125" s="5" t="s">
        <v>47</v>
      </c>
      <c r="D125" s="7">
        <v>102</v>
      </c>
      <c r="E125" s="7">
        <v>113</v>
      </c>
      <c r="F125" s="7">
        <v>121</v>
      </c>
      <c r="G125" s="7">
        <v>139</v>
      </c>
      <c r="H125" s="7">
        <v>149</v>
      </c>
      <c r="J125" t="str">
        <f t="shared" si="12"/>
        <v>France</v>
      </c>
      <c r="K125" t="s">
        <v>111</v>
      </c>
      <c r="L125" s="16">
        <f t="shared" si="13"/>
        <v>0.16346153846153846</v>
      </c>
      <c r="M125" s="16">
        <f t="shared" si="14"/>
        <v>0.18108974358974358</v>
      </c>
      <c r="N125" s="16">
        <f t="shared" si="15"/>
        <v>0.19391025641025642</v>
      </c>
      <c r="O125" s="16">
        <f t="shared" si="16"/>
        <v>0.22275641025641027</v>
      </c>
      <c r="P125" s="16">
        <f t="shared" si="17"/>
        <v>0.23878205128205129</v>
      </c>
    </row>
    <row r="126" spans="1:16" x14ac:dyDescent="0.3">
      <c r="A126" s="5" t="s">
        <v>68</v>
      </c>
      <c r="B126" s="5" t="s">
        <v>48</v>
      </c>
      <c r="C126" s="5" t="s">
        <v>49</v>
      </c>
      <c r="D126" s="8">
        <v>35</v>
      </c>
      <c r="E126" s="8">
        <v>28</v>
      </c>
      <c r="F126" s="8">
        <v>25</v>
      </c>
      <c r="G126" s="8">
        <v>23</v>
      </c>
      <c r="H126" s="8">
        <v>18</v>
      </c>
      <c r="J126" t="str">
        <f t="shared" si="12"/>
        <v>France</v>
      </c>
      <c r="K126" t="s">
        <v>112</v>
      </c>
      <c r="L126" s="16">
        <f t="shared" si="13"/>
        <v>0.27131782945736432</v>
      </c>
      <c r="M126" s="16">
        <f t="shared" si="14"/>
        <v>0.21705426356589147</v>
      </c>
      <c r="N126" s="16">
        <f t="shared" si="15"/>
        <v>0.19379844961240311</v>
      </c>
      <c r="O126" s="16">
        <f t="shared" si="16"/>
        <v>0.17829457364341086</v>
      </c>
      <c r="P126" s="16">
        <f t="shared" si="17"/>
        <v>0.13953488372093023</v>
      </c>
    </row>
    <row r="127" spans="1:16" x14ac:dyDescent="0.3">
      <c r="A127" s="5" t="s">
        <v>68</v>
      </c>
      <c r="B127" s="5" t="s">
        <v>50</v>
      </c>
      <c r="C127" s="5" t="s">
        <v>51</v>
      </c>
      <c r="D127" s="7">
        <v>66</v>
      </c>
      <c r="E127" s="7">
        <v>66</v>
      </c>
      <c r="F127" s="7">
        <v>72</v>
      </c>
      <c r="G127" s="7">
        <v>76</v>
      </c>
      <c r="H127" s="7">
        <v>89</v>
      </c>
      <c r="J127" t="str">
        <f t="shared" si="12"/>
        <v>France</v>
      </c>
      <c r="K127" t="s">
        <v>113</v>
      </c>
      <c r="L127" s="16">
        <f t="shared" si="13"/>
        <v>0.17886178861788618</v>
      </c>
      <c r="M127" s="16">
        <f t="shared" si="14"/>
        <v>0.17886178861788618</v>
      </c>
      <c r="N127" s="16">
        <f t="shared" si="15"/>
        <v>0.1951219512195122</v>
      </c>
      <c r="O127" s="16">
        <f t="shared" si="16"/>
        <v>0.20596205962059622</v>
      </c>
      <c r="P127" s="16">
        <f t="shared" si="17"/>
        <v>0.24119241192411925</v>
      </c>
    </row>
    <row r="128" spans="1:16" x14ac:dyDescent="0.3">
      <c r="A128" s="5" t="s">
        <v>68</v>
      </c>
      <c r="B128" s="5" t="s">
        <v>52</v>
      </c>
      <c r="C128" s="5" t="s">
        <v>53</v>
      </c>
      <c r="D128" s="8">
        <v>8</v>
      </c>
      <c r="E128" s="8">
        <v>4</v>
      </c>
      <c r="F128" s="8">
        <v>3</v>
      </c>
      <c r="G128" s="8">
        <v>4</v>
      </c>
      <c r="H128" s="8">
        <v>9</v>
      </c>
      <c r="J128" t="str">
        <f t="shared" si="12"/>
        <v>France</v>
      </c>
      <c r="K128" t="s">
        <v>114</v>
      </c>
      <c r="L128" s="16">
        <f t="shared" si="13"/>
        <v>0.2857142857142857</v>
      </c>
      <c r="M128" s="16">
        <f t="shared" si="14"/>
        <v>0.14285714285714285</v>
      </c>
      <c r="N128" s="16">
        <f t="shared" si="15"/>
        <v>0.10714285714285714</v>
      </c>
      <c r="O128" s="16">
        <f t="shared" si="16"/>
        <v>0.14285714285714285</v>
      </c>
      <c r="P128" s="16">
        <f t="shared" si="17"/>
        <v>0.32142857142857145</v>
      </c>
    </row>
    <row r="129" spans="1:16" x14ac:dyDescent="0.3">
      <c r="A129" s="5" t="s">
        <v>68</v>
      </c>
      <c r="B129" s="5" t="s">
        <v>54</v>
      </c>
      <c r="C129" s="5" t="s">
        <v>55</v>
      </c>
      <c r="D129" s="7">
        <v>40</v>
      </c>
      <c r="E129" s="7">
        <v>41</v>
      </c>
      <c r="F129" s="7">
        <v>44</v>
      </c>
      <c r="G129" s="7">
        <v>52</v>
      </c>
      <c r="H129" s="7">
        <v>71</v>
      </c>
      <c r="J129" t="str">
        <f t="shared" si="12"/>
        <v>France</v>
      </c>
      <c r="K129" t="s">
        <v>115</v>
      </c>
      <c r="L129" s="16">
        <f t="shared" si="13"/>
        <v>0.16129032258064516</v>
      </c>
      <c r="M129" s="16">
        <f t="shared" si="14"/>
        <v>0.16532258064516128</v>
      </c>
      <c r="N129" s="16">
        <f t="shared" si="15"/>
        <v>0.17741935483870969</v>
      </c>
      <c r="O129" s="16">
        <f t="shared" si="16"/>
        <v>0.20967741935483872</v>
      </c>
      <c r="P129" s="16">
        <f t="shared" si="17"/>
        <v>0.28629032258064518</v>
      </c>
    </row>
    <row r="130" spans="1:16" x14ac:dyDescent="0.3">
      <c r="A130" s="5" t="s">
        <v>68</v>
      </c>
      <c r="B130" s="5" t="s">
        <v>56</v>
      </c>
      <c r="C130" s="5" t="s">
        <v>57</v>
      </c>
      <c r="D130" s="8">
        <v>128</v>
      </c>
      <c r="E130" s="8">
        <v>147</v>
      </c>
      <c r="F130" s="8">
        <v>150</v>
      </c>
      <c r="G130" s="8">
        <v>150</v>
      </c>
      <c r="H130" s="8">
        <v>148</v>
      </c>
      <c r="J130" t="str">
        <f t="shared" si="12"/>
        <v>France</v>
      </c>
      <c r="K130" t="s">
        <v>116</v>
      </c>
      <c r="L130" s="16">
        <f t="shared" si="13"/>
        <v>0.17704011065006917</v>
      </c>
      <c r="M130" s="16">
        <f t="shared" si="14"/>
        <v>0.2033195020746888</v>
      </c>
      <c r="N130" s="16">
        <f t="shared" si="15"/>
        <v>0.2074688796680498</v>
      </c>
      <c r="O130" s="16">
        <f t="shared" si="16"/>
        <v>0.2074688796680498</v>
      </c>
      <c r="P130" s="16">
        <f t="shared" si="17"/>
        <v>0.20470262793914246</v>
      </c>
    </row>
    <row r="131" spans="1:16" x14ac:dyDescent="0.3">
      <c r="A131" s="5" t="s">
        <v>69</v>
      </c>
      <c r="B131" s="5" t="s">
        <v>34</v>
      </c>
      <c r="C131" s="5" t="s">
        <v>35</v>
      </c>
      <c r="D131" s="7">
        <v>305</v>
      </c>
      <c r="E131" s="7">
        <v>267</v>
      </c>
      <c r="F131" s="7">
        <v>262</v>
      </c>
      <c r="G131" s="7">
        <v>232</v>
      </c>
      <c r="H131" s="7">
        <v>205</v>
      </c>
      <c r="J131" t="str">
        <f t="shared" si="12"/>
        <v>Croatia</v>
      </c>
      <c r="K131" t="s">
        <v>105</v>
      </c>
      <c r="L131" s="16">
        <f t="shared" si="13"/>
        <v>0.23996852871754523</v>
      </c>
      <c r="M131" s="16">
        <f t="shared" si="14"/>
        <v>0.21007081038552322</v>
      </c>
      <c r="N131" s="16">
        <f t="shared" si="15"/>
        <v>0.20613690007867821</v>
      </c>
      <c r="O131" s="16">
        <f t="shared" si="16"/>
        <v>0.18253343823760818</v>
      </c>
      <c r="P131" s="16">
        <f t="shared" si="17"/>
        <v>0.16129032258064516</v>
      </c>
    </row>
    <row r="132" spans="1:16" x14ac:dyDescent="0.3">
      <c r="A132" s="5" t="s">
        <v>69</v>
      </c>
      <c r="B132" s="5" t="s">
        <v>36</v>
      </c>
      <c r="C132" s="5" t="s">
        <v>37</v>
      </c>
      <c r="D132" s="8">
        <v>29</v>
      </c>
      <c r="E132" s="8">
        <v>26</v>
      </c>
      <c r="F132" s="8">
        <v>24</v>
      </c>
      <c r="G132" s="8">
        <v>31</v>
      </c>
      <c r="H132" s="8">
        <v>25</v>
      </c>
      <c r="J132" t="str">
        <f t="shared" si="12"/>
        <v>Croatia</v>
      </c>
      <c r="K132" t="s">
        <v>106</v>
      </c>
      <c r="L132" s="16">
        <f t="shared" si="13"/>
        <v>0.21481481481481482</v>
      </c>
      <c r="M132" s="16">
        <f t="shared" si="14"/>
        <v>0.19259259259259259</v>
      </c>
      <c r="N132" s="16">
        <f t="shared" si="15"/>
        <v>0.17777777777777778</v>
      </c>
      <c r="O132" s="16">
        <f t="shared" si="16"/>
        <v>0.22962962962962963</v>
      </c>
      <c r="P132" s="16">
        <f t="shared" si="17"/>
        <v>0.18518518518518517</v>
      </c>
    </row>
    <row r="133" spans="1:16" x14ac:dyDescent="0.3">
      <c r="A133" s="5" t="s">
        <v>69</v>
      </c>
      <c r="B133" s="5" t="s">
        <v>38</v>
      </c>
      <c r="C133" s="5" t="s">
        <v>39</v>
      </c>
      <c r="D133" s="7">
        <v>23</v>
      </c>
      <c r="E133" s="7">
        <v>35</v>
      </c>
      <c r="F133" s="7">
        <v>51</v>
      </c>
      <c r="G133" s="7">
        <v>58</v>
      </c>
      <c r="H133" s="7">
        <v>72</v>
      </c>
      <c r="J133" t="str">
        <f t="shared" si="12"/>
        <v>Croatia</v>
      </c>
      <c r="K133" t="s">
        <v>107</v>
      </c>
      <c r="L133" s="16">
        <f t="shared" si="13"/>
        <v>9.6234309623430964E-2</v>
      </c>
      <c r="M133" s="16">
        <f t="shared" si="14"/>
        <v>0.14644351464435146</v>
      </c>
      <c r="N133" s="16">
        <f t="shared" si="15"/>
        <v>0.21338912133891214</v>
      </c>
      <c r="O133" s="16">
        <f t="shared" si="16"/>
        <v>0.24267782426778242</v>
      </c>
      <c r="P133" s="16">
        <f t="shared" si="17"/>
        <v>0.30125523012552302</v>
      </c>
    </row>
    <row r="134" spans="1:16" x14ac:dyDescent="0.3">
      <c r="A134" s="5" t="s">
        <v>69</v>
      </c>
      <c r="B134" s="5" t="s">
        <v>40</v>
      </c>
      <c r="C134" s="5" t="s">
        <v>41</v>
      </c>
      <c r="D134" s="8">
        <v>395</v>
      </c>
      <c r="E134" s="8">
        <v>380</v>
      </c>
      <c r="F134" s="8">
        <v>317</v>
      </c>
      <c r="G134" s="8">
        <v>303</v>
      </c>
      <c r="H134" s="8">
        <v>281</v>
      </c>
      <c r="J134" t="str">
        <f t="shared" si="12"/>
        <v>Croatia</v>
      </c>
      <c r="K134" t="s">
        <v>108</v>
      </c>
      <c r="L134" s="16">
        <f t="shared" si="13"/>
        <v>0.2356801909307876</v>
      </c>
      <c r="M134" s="16">
        <f t="shared" si="14"/>
        <v>0.22673031026252982</v>
      </c>
      <c r="N134" s="16">
        <f t="shared" si="15"/>
        <v>0.18914081145584727</v>
      </c>
      <c r="O134" s="16">
        <f t="shared" si="16"/>
        <v>0.18078758949880669</v>
      </c>
      <c r="P134" s="16">
        <f t="shared" si="17"/>
        <v>0.16766109785202865</v>
      </c>
    </row>
    <row r="135" spans="1:16" x14ac:dyDescent="0.3">
      <c r="A135" s="5" t="s">
        <v>69</v>
      </c>
      <c r="B135" s="5" t="s">
        <v>42</v>
      </c>
      <c r="C135" s="5" t="s">
        <v>43</v>
      </c>
      <c r="D135" s="7">
        <v>35</v>
      </c>
      <c r="E135" s="7">
        <v>37</v>
      </c>
      <c r="F135" s="7">
        <v>34</v>
      </c>
      <c r="G135" s="7">
        <v>37</v>
      </c>
      <c r="H135" s="7">
        <v>39</v>
      </c>
      <c r="J135" t="str">
        <f t="shared" si="12"/>
        <v>Croatia</v>
      </c>
      <c r="K135" t="s">
        <v>109</v>
      </c>
      <c r="L135" s="16">
        <f t="shared" si="13"/>
        <v>0.19230769230769232</v>
      </c>
      <c r="M135" s="16">
        <f t="shared" si="14"/>
        <v>0.2032967032967033</v>
      </c>
      <c r="N135" s="16">
        <f t="shared" si="15"/>
        <v>0.18681318681318682</v>
      </c>
      <c r="O135" s="16">
        <f t="shared" si="16"/>
        <v>0.2032967032967033</v>
      </c>
      <c r="P135" s="16">
        <f t="shared" si="17"/>
        <v>0.21428571428571427</v>
      </c>
    </row>
    <row r="136" spans="1:16" x14ac:dyDescent="0.3">
      <c r="A136" s="5" t="s">
        <v>69</v>
      </c>
      <c r="B136" s="5" t="s">
        <v>44</v>
      </c>
      <c r="C136" s="5" t="s">
        <v>45</v>
      </c>
      <c r="D136" s="8">
        <v>25</v>
      </c>
      <c r="E136" s="8">
        <v>23</v>
      </c>
      <c r="F136" s="8">
        <v>22</v>
      </c>
      <c r="G136" s="8">
        <v>26</v>
      </c>
      <c r="H136" s="8">
        <v>23</v>
      </c>
      <c r="J136" t="str">
        <f t="shared" si="12"/>
        <v>Croatia</v>
      </c>
      <c r="K136" t="s">
        <v>110</v>
      </c>
      <c r="L136" s="16">
        <f t="shared" si="13"/>
        <v>0.21008403361344538</v>
      </c>
      <c r="M136" s="16">
        <f t="shared" si="14"/>
        <v>0.19327731092436976</v>
      </c>
      <c r="N136" s="16">
        <f t="shared" si="15"/>
        <v>0.18487394957983194</v>
      </c>
      <c r="O136" s="16">
        <f t="shared" si="16"/>
        <v>0.21848739495798319</v>
      </c>
      <c r="P136" s="16">
        <f t="shared" si="17"/>
        <v>0.19327731092436976</v>
      </c>
    </row>
    <row r="137" spans="1:16" x14ac:dyDescent="0.3">
      <c r="A137" s="5" t="s">
        <v>69</v>
      </c>
      <c r="B137" s="5" t="s">
        <v>46</v>
      </c>
      <c r="C137" s="5" t="s">
        <v>47</v>
      </c>
      <c r="D137" s="7">
        <v>51</v>
      </c>
      <c r="E137" s="7">
        <v>70</v>
      </c>
      <c r="F137" s="7">
        <v>109</v>
      </c>
      <c r="G137" s="7">
        <v>116</v>
      </c>
      <c r="H137" s="7">
        <v>127</v>
      </c>
      <c r="J137" t="str">
        <f t="shared" si="12"/>
        <v>Croatia</v>
      </c>
      <c r="K137" t="s">
        <v>111</v>
      </c>
      <c r="L137" s="16">
        <f t="shared" si="13"/>
        <v>0.10782241014799154</v>
      </c>
      <c r="M137" s="16">
        <f t="shared" si="14"/>
        <v>0.14799154334038056</v>
      </c>
      <c r="N137" s="16">
        <f t="shared" si="15"/>
        <v>0.23044397463002114</v>
      </c>
      <c r="O137" s="16">
        <f t="shared" si="16"/>
        <v>0.2452431289640592</v>
      </c>
      <c r="P137" s="16">
        <f t="shared" si="17"/>
        <v>0.26849894291754756</v>
      </c>
    </row>
    <row r="138" spans="1:16" x14ac:dyDescent="0.3">
      <c r="A138" s="5" t="s">
        <v>69</v>
      </c>
      <c r="B138" s="5" t="s">
        <v>48</v>
      </c>
      <c r="C138" s="5" t="s">
        <v>49</v>
      </c>
      <c r="D138" s="8">
        <v>41</v>
      </c>
      <c r="E138" s="8">
        <v>42</v>
      </c>
      <c r="F138" s="8">
        <v>45</v>
      </c>
      <c r="G138" s="8">
        <v>46</v>
      </c>
      <c r="H138" s="8">
        <v>47</v>
      </c>
      <c r="J138" t="str">
        <f t="shared" si="12"/>
        <v>Croatia</v>
      </c>
      <c r="K138" t="s">
        <v>112</v>
      </c>
      <c r="L138" s="16">
        <f t="shared" si="13"/>
        <v>0.18552036199095023</v>
      </c>
      <c r="M138" s="16">
        <f t="shared" si="14"/>
        <v>0.19004524886877827</v>
      </c>
      <c r="N138" s="16">
        <f t="shared" si="15"/>
        <v>0.20361990950226244</v>
      </c>
      <c r="O138" s="16">
        <f t="shared" si="16"/>
        <v>0.20814479638009051</v>
      </c>
      <c r="P138" s="16">
        <f t="shared" si="17"/>
        <v>0.21266968325791855</v>
      </c>
    </row>
    <row r="139" spans="1:16" x14ac:dyDescent="0.3">
      <c r="A139" s="5" t="s">
        <v>69</v>
      </c>
      <c r="B139" s="5" t="s">
        <v>50</v>
      </c>
      <c r="C139" s="5" t="s">
        <v>51</v>
      </c>
      <c r="D139" s="7">
        <v>35</v>
      </c>
      <c r="E139" s="7">
        <v>39</v>
      </c>
      <c r="F139" s="7">
        <v>44</v>
      </c>
      <c r="G139" s="7">
        <v>48</v>
      </c>
      <c r="H139" s="7">
        <v>59</v>
      </c>
      <c r="J139" t="str">
        <f t="shared" si="12"/>
        <v>Croatia</v>
      </c>
      <c r="K139" t="s">
        <v>113</v>
      </c>
      <c r="L139" s="16">
        <f t="shared" si="13"/>
        <v>0.15555555555555556</v>
      </c>
      <c r="M139" s="16">
        <f t="shared" si="14"/>
        <v>0.17333333333333334</v>
      </c>
      <c r="N139" s="16">
        <f t="shared" si="15"/>
        <v>0.19555555555555557</v>
      </c>
      <c r="O139" s="16">
        <f t="shared" si="16"/>
        <v>0.21333333333333335</v>
      </c>
      <c r="P139" s="16">
        <f t="shared" si="17"/>
        <v>0.26222222222222225</v>
      </c>
    </row>
    <row r="140" spans="1:16" x14ac:dyDescent="0.3">
      <c r="A140" s="5" t="s">
        <v>69</v>
      </c>
      <c r="B140" s="5" t="s">
        <v>52</v>
      </c>
      <c r="C140" s="5" t="s">
        <v>53</v>
      </c>
      <c r="D140" s="8">
        <v>2</v>
      </c>
      <c r="E140" s="8">
        <v>4</v>
      </c>
      <c r="F140" s="8">
        <v>7</v>
      </c>
      <c r="G140" s="8">
        <v>7</v>
      </c>
      <c r="H140" s="8">
        <v>14</v>
      </c>
      <c r="J140" t="str">
        <f t="shared" ref="J140:J203" si="18">A140</f>
        <v>Croatia</v>
      </c>
      <c r="K140" t="s">
        <v>114</v>
      </c>
      <c r="L140" s="16">
        <f t="shared" si="13"/>
        <v>5.8823529411764705E-2</v>
      </c>
      <c r="M140" s="16">
        <f t="shared" si="14"/>
        <v>0.11764705882352941</v>
      </c>
      <c r="N140" s="16">
        <f t="shared" si="15"/>
        <v>0.20588235294117646</v>
      </c>
      <c r="O140" s="16">
        <f t="shared" si="16"/>
        <v>0.20588235294117646</v>
      </c>
      <c r="P140" s="16">
        <f t="shared" si="17"/>
        <v>0.41176470588235292</v>
      </c>
    </row>
    <row r="141" spans="1:16" x14ac:dyDescent="0.3">
      <c r="A141" s="5" t="s">
        <v>69</v>
      </c>
      <c r="B141" s="5" t="s">
        <v>54</v>
      </c>
      <c r="C141" s="5" t="s">
        <v>55</v>
      </c>
      <c r="D141" s="7">
        <v>10</v>
      </c>
      <c r="E141" s="7">
        <v>14</v>
      </c>
      <c r="F141" s="7">
        <v>17</v>
      </c>
      <c r="G141" s="7">
        <v>21</v>
      </c>
      <c r="H141" s="7">
        <v>32</v>
      </c>
      <c r="J141" t="str">
        <f t="shared" si="18"/>
        <v>Croatia</v>
      </c>
      <c r="K141" t="s">
        <v>115</v>
      </c>
      <c r="L141" s="16">
        <f t="shared" si="13"/>
        <v>0.10638297872340426</v>
      </c>
      <c r="M141" s="16">
        <f t="shared" si="14"/>
        <v>0.14893617021276595</v>
      </c>
      <c r="N141" s="16">
        <f t="shared" si="15"/>
        <v>0.18085106382978725</v>
      </c>
      <c r="O141" s="16">
        <f t="shared" si="16"/>
        <v>0.22340425531914893</v>
      </c>
      <c r="P141" s="16">
        <f t="shared" si="17"/>
        <v>0.34042553191489361</v>
      </c>
    </row>
    <row r="142" spans="1:16" x14ac:dyDescent="0.3">
      <c r="A142" s="5" t="s">
        <v>69</v>
      </c>
      <c r="B142" s="5" t="s">
        <v>56</v>
      </c>
      <c r="C142" s="5" t="s">
        <v>57</v>
      </c>
      <c r="D142" s="8">
        <v>48</v>
      </c>
      <c r="E142" s="8">
        <v>62</v>
      </c>
      <c r="F142" s="8">
        <v>67</v>
      </c>
      <c r="G142" s="8">
        <v>75</v>
      </c>
      <c r="H142" s="8">
        <v>76</v>
      </c>
      <c r="J142" t="str">
        <f t="shared" si="18"/>
        <v>Croatia</v>
      </c>
      <c r="K142" t="s">
        <v>116</v>
      </c>
      <c r="L142" s="16">
        <f t="shared" si="13"/>
        <v>0.14634146341463414</v>
      </c>
      <c r="M142" s="16">
        <f t="shared" si="14"/>
        <v>0.18902439024390244</v>
      </c>
      <c r="N142" s="16">
        <f t="shared" si="15"/>
        <v>0.20426829268292682</v>
      </c>
      <c r="O142" s="16">
        <f t="shared" si="16"/>
        <v>0.22865853658536586</v>
      </c>
      <c r="P142" s="16">
        <f t="shared" si="17"/>
        <v>0.23170731707317074</v>
      </c>
    </row>
    <row r="143" spans="1:16" x14ac:dyDescent="0.3">
      <c r="A143" s="5" t="s">
        <v>70</v>
      </c>
      <c r="B143" s="5" t="s">
        <v>34</v>
      </c>
      <c r="C143" s="5" t="s">
        <v>35</v>
      </c>
      <c r="D143" s="7" t="s">
        <v>102</v>
      </c>
      <c r="E143" s="7" t="s">
        <v>102</v>
      </c>
      <c r="F143" s="7" t="s">
        <v>102</v>
      </c>
      <c r="G143" s="7" t="s">
        <v>102</v>
      </c>
      <c r="H143" s="7" t="s">
        <v>102</v>
      </c>
      <c r="J143" t="str">
        <f t="shared" si="18"/>
        <v>Italy</v>
      </c>
      <c r="K143" t="s">
        <v>105</v>
      </c>
      <c r="L143" s="16" t="e">
        <f t="shared" si="13"/>
        <v>#VALUE!</v>
      </c>
      <c r="M143" s="16" t="e">
        <f t="shared" si="14"/>
        <v>#VALUE!</v>
      </c>
      <c r="N143" s="16" t="e">
        <f t="shared" si="15"/>
        <v>#VALUE!</v>
      </c>
      <c r="O143" s="16" t="e">
        <f t="shared" si="16"/>
        <v>#VALUE!</v>
      </c>
      <c r="P143" s="16" t="e">
        <f t="shared" si="17"/>
        <v>#VALUE!</v>
      </c>
    </row>
    <row r="144" spans="1:16" x14ac:dyDescent="0.3">
      <c r="A144" s="5" t="s">
        <v>70</v>
      </c>
      <c r="B144" s="5" t="s">
        <v>36</v>
      </c>
      <c r="C144" s="5" t="s">
        <v>37</v>
      </c>
      <c r="D144" s="8" t="s">
        <v>102</v>
      </c>
      <c r="E144" s="8" t="s">
        <v>102</v>
      </c>
      <c r="F144" s="8" t="s">
        <v>102</v>
      </c>
      <c r="G144" s="8" t="s">
        <v>102</v>
      </c>
      <c r="H144" s="8" t="s">
        <v>102</v>
      </c>
      <c r="J144" t="str">
        <f t="shared" si="18"/>
        <v>Italy</v>
      </c>
      <c r="K144" t="s">
        <v>106</v>
      </c>
      <c r="L144" s="16" t="e">
        <f t="shared" si="13"/>
        <v>#VALUE!</v>
      </c>
      <c r="M144" s="16" t="e">
        <f t="shared" si="14"/>
        <v>#VALUE!</v>
      </c>
      <c r="N144" s="16" t="e">
        <f t="shared" si="15"/>
        <v>#VALUE!</v>
      </c>
      <c r="O144" s="16" t="e">
        <f t="shared" si="16"/>
        <v>#VALUE!</v>
      </c>
      <c r="P144" s="16" t="e">
        <f t="shared" si="17"/>
        <v>#VALUE!</v>
      </c>
    </row>
    <row r="145" spans="1:16" x14ac:dyDescent="0.3">
      <c r="A145" s="5" t="s">
        <v>70</v>
      </c>
      <c r="B145" s="5" t="s">
        <v>38</v>
      </c>
      <c r="C145" s="5" t="s">
        <v>39</v>
      </c>
      <c r="D145" s="7" t="s">
        <v>102</v>
      </c>
      <c r="E145" s="7" t="s">
        <v>102</v>
      </c>
      <c r="F145" s="7" t="s">
        <v>102</v>
      </c>
      <c r="G145" s="7" t="s">
        <v>102</v>
      </c>
      <c r="H145" s="7" t="s">
        <v>102</v>
      </c>
      <c r="J145" t="str">
        <f t="shared" si="18"/>
        <v>Italy</v>
      </c>
      <c r="K145" t="s">
        <v>107</v>
      </c>
      <c r="L145" s="16" t="e">
        <f t="shared" si="13"/>
        <v>#VALUE!</v>
      </c>
      <c r="M145" s="16" t="e">
        <f t="shared" si="14"/>
        <v>#VALUE!</v>
      </c>
      <c r="N145" s="16" t="e">
        <f t="shared" si="15"/>
        <v>#VALUE!</v>
      </c>
      <c r="O145" s="16" t="e">
        <f t="shared" si="16"/>
        <v>#VALUE!</v>
      </c>
      <c r="P145" s="16" t="e">
        <f t="shared" si="17"/>
        <v>#VALUE!</v>
      </c>
    </row>
    <row r="146" spans="1:16" x14ac:dyDescent="0.3">
      <c r="A146" s="5" t="s">
        <v>70</v>
      </c>
      <c r="B146" s="5" t="s">
        <v>40</v>
      </c>
      <c r="C146" s="5" t="s">
        <v>41</v>
      </c>
      <c r="D146" s="8" t="s">
        <v>102</v>
      </c>
      <c r="E146" s="8" t="s">
        <v>102</v>
      </c>
      <c r="F146" s="8" t="s">
        <v>102</v>
      </c>
      <c r="G146" s="8" t="s">
        <v>102</v>
      </c>
      <c r="H146" s="8" t="s">
        <v>102</v>
      </c>
      <c r="J146" t="str">
        <f t="shared" si="18"/>
        <v>Italy</v>
      </c>
      <c r="K146" t="s">
        <v>108</v>
      </c>
      <c r="L146" s="16" t="e">
        <f t="shared" ref="L146:L209" si="19">D146/(SUM($D146:$H146))</f>
        <v>#VALUE!</v>
      </c>
      <c r="M146" s="16" t="e">
        <f t="shared" ref="M146:M209" si="20">E146/(SUM($D146:$H146))</f>
        <v>#VALUE!</v>
      </c>
      <c r="N146" s="16" t="e">
        <f t="shared" ref="N146:N209" si="21">F146/(SUM($D146:$H146))</f>
        <v>#VALUE!</v>
      </c>
      <c r="O146" s="16" t="e">
        <f t="shared" ref="O146:O209" si="22">G146/(SUM($D146:$H146))</f>
        <v>#VALUE!</v>
      </c>
      <c r="P146" s="16" t="e">
        <f t="shared" ref="P146:P209" si="23">H146/(SUM($D146:$H146))</f>
        <v>#VALUE!</v>
      </c>
    </row>
    <row r="147" spans="1:16" x14ac:dyDescent="0.3">
      <c r="A147" s="5" t="s">
        <v>70</v>
      </c>
      <c r="B147" s="5" t="s">
        <v>42</v>
      </c>
      <c r="C147" s="5" t="s">
        <v>43</v>
      </c>
      <c r="D147" s="7" t="s">
        <v>102</v>
      </c>
      <c r="E147" s="7" t="s">
        <v>102</v>
      </c>
      <c r="F147" s="7" t="s">
        <v>102</v>
      </c>
      <c r="G147" s="7" t="s">
        <v>102</v>
      </c>
      <c r="H147" s="7" t="s">
        <v>102</v>
      </c>
      <c r="J147" t="str">
        <f t="shared" si="18"/>
        <v>Italy</v>
      </c>
      <c r="K147" t="s">
        <v>109</v>
      </c>
      <c r="L147" s="16" t="e">
        <f t="shared" si="19"/>
        <v>#VALUE!</v>
      </c>
      <c r="M147" s="16" t="e">
        <f t="shared" si="20"/>
        <v>#VALUE!</v>
      </c>
      <c r="N147" s="16" t="e">
        <f t="shared" si="21"/>
        <v>#VALUE!</v>
      </c>
      <c r="O147" s="16" t="e">
        <f t="shared" si="22"/>
        <v>#VALUE!</v>
      </c>
      <c r="P147" s="16" t="e">
        <f t="shared" si="23"/>
        <v>#VALUE!</v>
      </c>
    </row>
    <row r="148" spans="1:16" x14ac:dyDescent="0.3">
      <c r="A148" s="5" t="s">
        <v>70</v>
      </c>
      <c r="B148" s="5" t="s">
        <v>44</v>
      </c>
      <c r="C148" s="5" t="s">
        <v>45</v>
      </c>
      <c r="D148" s="8" t="s">
        <v>102</v>
      </c>
      <c r="E148" s="8" t="s">
        <v>102</v>
      </c>
      <c r="F148" s="8" t="s">
        <v>102</v>
      </c>
      <c r="G148" s="8" t="s">
        <v>102</v>
      </c>
      <c r="H148" s="8" t="s">
        <v>102</v>
      </c>
      <c r="J148" t="str">
        <f t="shared" si="18"/>
        <v>Italy</v>
      </c>
      <c r="K148" t="s">
        <v>110</v>
      </c>
      <c r="L148" s="16" t="e">
        <f t="shared" si="19"/>
        <v>#VALUE!</v>
      </c>
      <c r="M148" s="16" t="e">
        <f t="shared" si="20"/>
        <v>#VALUE!</v>
      </c>
      <c r="N148" s="16" t="e">
        <f t="shared" si="21"/>
        <v>#VALUE!</v>
      </c>
      <c r="O148" s="16" t="e">
        <f t="shared" si="22"/>
        <v>#VALUE!</v>
      </c>
      <c r="P148" s="16" t="e">
        <f t="shared" si="23"/>
        <v>#VALUE!</v>
      </c>
    </row>
    <row r="149" spans="1:16" x14ac:dyDescent="0.3">
      <c r="A149" s="5" t="s">
        <v>70</v>
      </c>
      <c r="B149" s="5" t="s">
        <v>46</v>
      </c>
      <c r="C149" s="5" t="s">
        <v>47</v>
      </c>
      <c r="D149" s="7" t="s">
        <v>102</v>
      </c>
      <c r="E149" s="7" t="s">
        <v>102</v>
      </c>
      <c r="F149" s="7" t="s">
        <v>102</v>
      </c>
      <c r="G149" s="7" t="s">
        <v>102</v>
      </c>
      <c r="H149" s="7" t="s">
        <v>102</v>
      </c>
      <c r="J149" t="str">
        <f t="shared" si="18"/>
        <v>Italy</v>
      </c>
      <c r="K149" t="s">
        <v>111</v>
      </c>
      <c r="L149" s="16" t="e">
        <f t="shared" si="19"/>
        <v>#VALUE!</v>
      </c>
      <c r="M149" s="16" t="e">
        <f t="shared" si="20"/>
        <v>#VALUE!</v>
      </c>
      <c r="N149" s="16" t="e">
        <f t="shared" si="21"/>
        <v>#VALUE!</v>
      </c>
      <c r="O149" s="16" t="e">
        <f t="shared" si="22"/>
        <v>#VALUE!</v>
      </c>
      <c r="P149" s="16" t="e">
        <f t="shared" si="23"/>
        <v>#VALUE!</v>
      </c>
    </row>
    <row r="150" spans="1:16" x14ac:dyDescent="0.3">
      <c r="A150" s="5" t="s">
        <v>70</v>
      </c>
      <c r="B150" s="5" t="s">
        <v>48</v>
      </c>
      <c r="C150" s="5" t="s">
        <v>49</v>
      </c>
      <c r="D150" s="8" t="s">
        <v>102</v>
      </c>
      <c r="E150" s="8" t="s">
        <v>102</v>
      </c>
      <c r="F150" s="8" t="s">
        <v>102</v>
      </c>
      <c r="G150" s="8" t="s">
        <v>102</v>
      </c>
      <c r="H150" s="8" t="s">
        <v>102</v>
      </c>
      <c r="J150" t="str">
        <f t="shared" si="18"/>
        <v>Italy</v>
      </c>
      <c r="K150" t="s">
        <v>112</v>
      </c>
      <c r="L150" s="16" t="e">
        <f t="shared" si="19"/>
        <v>#VALUE!</v>
      </c>
      <c r="M150" s="16" t="e">
        <f t="shared" si="20"/>
        <v>#VALUE!</v>
      </c>
      <c r="N150" s="16" t="e">
        <f t="shared" si="21"/>
        <v>#VALUE!</v>
      </c>
      <c r="O150" s="16" t="e">
        <f t="shared" si="22"/>
        <v>#VALUE!</v>
      </c>
      <c r="P150" s="16" t="e">
        <f t="shared" si="23"/>
        <v>#VALUE!</v>
      </c>
    </row>
    <row r="151" spans="1:16" x14ac:dyDescent="0.3">
      <c r="A151" s="5" t="s">
        <v>70</v>
      </c>
      <c r="B151" s="5" t="s">
        <v>50</v>
      </c>
      <c r="C151" s="5" t="s">
        <v>51</v>
      </c>
      <c r="D151" s="7" t="s">
        <v>102</v>
      </c>
      <c r="E151" s="7" t="s">
        <v>102</v>
      </c>
      <c r="F151" s="7" t="s">
        <v>102</v>
      </c>
      <c r="G151" s="7" t="s">
        <v>102</v>
      </c>
      <c r="H151" s="7" t="s">
        <v>102</v>
      </c>
      <c r="J151" t="str">
        <f t="shared" si="18"/>
        <v>Italy</v>
      </c>
      <c r="K151" t="s">
        <v>113</v>
      </c>
      <c r="L151" s="16" t="e">
        <f t="shared" si="19"/>
        <v>#VALUE!</v>
      </c>
      <c r="M151" s="16" t="e">
        <f t="shared" si="20"/>
        <v>#VALUE!</v>
      </c>
      <c r="N151" s="16" t="e">
        <f t="shared" si="21"/>
        <v>#VALUE!</v>
      </c>
      <c r="O151" s="16" t="e">
        <f t="shared" si="22"/>
        <v>#VALUE!</v>
      </c>
      <c r="P151" s="16" t="e">
        <f t="shared" si="23"/>
        <v>#VALUE!</v>
      </c>
    </row>
    <row r="152" spans="1:16" x14ac:dyDescent="0.3">
      <c r="A152" s="5" t="s">
        <v>70</v>
      </c>
      <c r="B152" s="5" t="s">
        <v>52</v>
      </c>
      <c r="C152" s="5" t="s">
        <v>53</v>
      </c>
      <c r="D152" s="8" t="s">
        <v>102</v>
      </c>
      <c r="E152" s="8" t="s">
        <v>102</v>
      </c>
      <c r="F152" s="8" t="s">
        <v>102</v>
      </c>
      <c r="G152" s="8" t="s">
        <v>102</v>
      </c>
      <c r="H152" s="8" t="s">
        <v>102</v>
      </c>
      <c r="J152" t="str">
        <f t="shared" si="18"/>
        <v>Italy</v>
      </c>
      <c r="K152" t="s">
        <v>114</v>
      </c>
      <c r="L152" s="16" t="e">
        <f t="shared" si="19"/>
        <v>#VALUE!</v>
      </c>
      <c r="M152" s="16" t="e">
        <f t="shared" si="20"/>
        <v>#VALUE!</v>
      </c>
      <c r="N152" s="16" t="e">
        <f t="shared" si="21"/>
        <v>#VALUE!</v>
      </c>
      <c r="O152" s="16" t="e">
        <f t="shared" si="22"/>
        <v>#VALUE!</v>
      </c>
      <c r="P152" s="16" t="e">
        <f t="shared" si="23"/>
        <v>#VALUE!</v>
      </c>
    </row>
    <row r="153" spans="1:16" x14ac:dyDescent="0.3">
      <c r="A153" s="5" t="s">
        <v>70</v>
      </c>
      <c r="B153" s="5" t="s">
        <v>54</v>
      </c>
      <c r="C153" s="5" t="s">
        <v>55</v>
      </c>
      <c r="D153" s="7" t="s">
        <v>102</v>
      </c>
      <c r="E153" s="7" t="s">
        <v>102</v>
      </c>
      <c r="F153" s="7" t="s">
        <v>102</v>
      </c>
      <c r="G153" s="7" t="s">
        <v>102</v>
      </c>
      <c r="H153" s="7" t="s">
        <v>102</v>
      </c>
      <c r="J153" t="str">
        <f t="shared" si="18"/>
        <v>Italy</v>
      </c>
      <c r="K153" t="s">
        <v>115</v>
      </c>
      <c r="L153" s="16" t="e">
        <f t="shared" si="19"/>
        <v>#VALUE!</v>
      </c>
      <c r="M153" s="16" t="e">
        <f t="shared" si="20"/>
        <v>#VALUE!</v>
      </c>
      <c r="N153" s="16" t="e">
        <f t="shared" si="21"/>
        <v>#VALUE!</v>
      </c>
      <c r="O153" s="16" t="e">
        <f t="shared" si="22"/>
        <v>#VALUE!</v>
      </c>
      <c r="P153" s="16" t="e">
        <f t="shared" si="23"/>
        <v>#VALUE!</v>
      </c>
    </row>
    <row r="154" spans="1:16" x14ac:dyDescent="0.3">
      <c r="A154" s="5" t="s">
        <v>70</v>
      </c>
      <c r="B154" s="5" t="s">
        <v>56</v>
      </c>
      <c r="C154" s="5" t="s">
        <v>57</v>
      </c>
      <c r="D154" s="8" t="s">
        <v>102</v>
      </c>
      <c r="E154" s="8" t="s">
        <v>102</v>
      </c>
      <c r="F154" s="8" t="s">
        <v>102</v>
      </c>
      <c r="G154" s="8" t="s">
        <v>102</v>
      </c>
      <c r="H154" s="8" t="s">
        <v>102</v>
      </c>
      <c r="J154" t="str">
        <f t="shared" si="18"/>
        <v>Italy</v>
      </c>
      <c r="K154" t="s">
        <v>116</v>
      </c>
      <c r="L154" s="16" t="e">
        <f t="shared" si="19"/>
        <v>#VALUE!</v>
      </c>
      <c r="M154" s="16" t="e">
        <f t="shared" si="20"/>
        <v>#VALUE!</v>
      </c>
      <c r="N154" s="16" t="e">
        <f t="shared" si="21"/>
        <v>#VALUE!</v>
      </c>
      <c r="O154" s="16" t="e">
        <f t="shared" si="22"/>
        <v>#VALUE!</v>
      </c>
      <c r="P154" s="16" t="e">
        <f t="shared" si="23"/>
        <v>#VALUE!</v>
      </c>
    </row>
    <row r="155" spans="1:16" x14ac:dyDescent="0.3">
      <c r="A155" s="5" t="s">
        <v>71</v>
      </c>
      <c r="B155" s="5" t="s">
        <v>34</v>
      </c>
      <c r="C155" s="5" t="s">
        <v>35</v>
      </c>
      <c r="D155" s="7">
        <v>226</v>
      </c>
      <c r="E155" s="7">
        <v>198</v>
      </c>
      <c r="F155" s="7">
        <v>170</v>
      </c>
      <c r="G155" s="7">
        <v>146</v>
      </c>
      <c r="H155" s="7">
        <v>117</v>
      </c>
      <c r="J155" t="str">
        <f t="shared" si="18"/>
        <v>Cyprus</v>
      </c>
      <c r="K155" t="s">
        <v>105</v>
      </c>
      <c r="L155" s="16">
        <f t="shared" si="19"/>
        <v>0.26371061843640609</v>
      </c>
      <c r="M155" s="16">
        <f t="shared" si="20"/>
        <v>0.23103850641773629</v>
      </c>
      <c r="N155" s="16">
        <f t="shared" si="21"/>
        <v>0.1983663943990665</v>
      </c>
      <c r="O155" s="16">
        <f t="shared" si="22"/>
        <v>0.17036172695449242</v>
      </c>
      <c r="P155" s="16">
        <f t="shared" si="23"/>
        <v>0.13652275379229872</v>
      </c>
    </row>
    <row r="156" spans="1:16" x14ac:dyDescent="0.3">
      <c r="A156" s="5" t="s">
        <v>71</v>
      </c>
      <c r="B156" s="5" t="s">
        <v>36</v>
      </c>
      <c r="C156" s="5" t="s">
        <v>37</v>
      </c>
      <c r="D156" s="8">
        <v>30</v>
      </c>
      <c r="E156" s="8">
        <v>25</v>
      </c>
      <c r="F156" s="8">
        <v>19</v>
      </c>
      <c r="G156" s="8">
        <v>15</v>
      </c>
      <c r="H156" s="8">
        <v>9</v>
      </c>
      <c r="J156" t="str">
        <f t="shared" si="18"/>
        <v>Cyprus</v>
      </c>
      <c r="K156" t="s">
        <v>106</v>
      </c>
      <c r="L156" s="16">
        <f t="shared" si="19"/>
        <v>0.30612244897959184</v>
      </c>
      <c r="M156" s="16">
        <f t="shared" si="20"/>
        <v>0.25510204081632654</v>
      </c>
      <c r="N156" s="16">
        <f t="shared" si="21"/>
        <v>0.19387755102040816</v>
      </c>
      <c r="O156" s="16">
        <f t="shared" si="22"/>
        <v>0.15306122448979592</v>
      </c>
      <c r="P156" s="16">
        <f t="shared" si="23"/>
        <v>9.1836734693877556E-2</v>
      </c>
    </row>
    <row r="157" spans="1:16" x14ac:dyDescent="0.3">
      <c r="A157" s="5" t="s">
        <v>71</v>
      </c>
      <c r="B157" s="5" t="s">
        <v>38</v>
      </c>
      <c r="C157" s="5" t="s">
        <v>39</v>
      </c>
      <c r="D157" s="7">
        <v>35</v>
      </c>
      <c r="E157" s="7">
        <v>47</v>
      </c>
      <c r="F157" s="7">
        <v>52</v>
      </c>
      <c r="G157" s="7">
        <v>65</v>
      </c>
      <c r="H157" s="7">
        <v>65</v>
      </c>
      <c r="J157" t="str">
        <f t="shared" si="18"/>
        <v>Cyprus</v>
      </c>
      <c r="K157" t="s">
        <v>107</v>
      </c>
      <c r="L157" s="16">
        <f t="shared" si="19"/>
        <v>0.13257575757575757</v>
      </c>
      <c r="M157" s="16">
        <f t="shared" si="20"/>
        <v>0.17803030303030304</v>
      </c>
      <c r="N157" s="16">
        <f t="shared" si="21"/>
        <v>0.19696969696969696</v>
      </c>
      <c r="O157" s="16">
        <f t="shared" si="22"/>
        <v>0.24621212121212122</v>
      </c>
      <c r="P157" s="16">
        <f t="shared" si="23"/>
        <v>0.24621212121212122</v>
      </c>
    </row>
    <row r="158" spans="1:16" x14ac:dyDescent="0.3">
      <c r="A158" s="5" t="s">
        <v>71</v>
      </c>
      <c r="B158" s="5" t="s">
        <v>40</v>
      </c>
      <c r="C158" s="5" t="s">
        <v>41</v>
      </c>
      <c r="D158" s="8">
        <v>322</v>
      </c>
      <c r="E158" s="8">
        <v>291</v>
      </c>
      <c r="F158" s="8">
        <v>254</v>
      </c>
      <c r="G158" s="8">
        <v>240</v>
      </c>
      <c r="H158" s="8">
        <v>238</v>
      </c>
      <c r="J158" t="str">
        <f t="shared" si="18"/>
        <v>Cyprus</v>
      </c>
      <c r="K158" t="s">
        <v>108</v>
      </c>
      <c r="L158" s="16">
        <f t="shared" si="19"/>
        <v>0.23940520446096655</v>
      </c>
      <c r="M158" s="16">
        <f t="shared" si="20"/>
        <v>0.21635687732342007</v>
      </c>
      <c r="N158" s="16">
        <f t="shared" si="21"/>
        <v>0.18884758364312268</v>
      </c>
      <c r="O158" s="16">
        <f t="shared" si="22"/>
        <v>0.17843866171003717</v>
      </c>
      <c r="P158" s="16">
        <f t="shared" si="23"/>
        <v>0.17695167286245353</v>
      </c>
    </row>
    <row r="159" spans="1:16" x14ac:dyDescent="0.3">
      <c r="A159" s="5" t="s">
        <v>71</v>
      </c>
      <c r="B159" s="5" t="s">
        <v>42</v>
      </c>
      <c r="C159" s="5" t="s">
        <v>43</v>
      </c>
      <c r="D159" s="7">
        <v>53</v>
      </c>
      <c r="E159" s="7">
        <v>55</v>
      </c>
      <c r="F159" s="7">
        <v>52</v>
      </c>
      <c r="G159" s="7">
        <v>46</v>
      </c>
      <c r="H159" s="7">
        <v>54</v>
      </c>
      <c r="J159" t="str">
        <f t="shared" si="18"/>
        <v>Cyprus</v>
      </c>
      <c r="K159" t="s">
        <v>109</v>
      </c>
      <c r="L159" s="16">
        <f t="shared" si="19"/>
        <v>0.20384615384615384</v>
      </c>
      <c r="M159" s="16">
        <f t="shared" si="20"/>
        <v>0.21153846153846154</v>
      </c>
      <c r="N159" s="16">
        <f t="shared" si="21"/>
        <v>0.2</v>
      </c>
      <c r="O159" s="16">
        <f t="shared" si="22"/>
        <v>0.17692307692307693</v>
      </c>
      <c r="P159" s="16">
        <f t="shared" si="23"/>
        <v>0.2076923076923077</v>
      </c>
    </row>
    <row r="160" spans="1:16" x14ac:dyDescent="0.3">
      <c r="A160" s="5" t="s">
        <v>71</v>
      </c>
      <c r="B160" s="5" t="s">
        <v>44</v>
      </c>
      <c r="C160" s="5" t="s">
        <v>45</v>
      </c>
      <c r="D160" s="8">
        <v>57</v>
      </c>
      <c r="E160" s="8">
        <v>57</v>
      </c>
      <c r="F160" s="8">
        <v>59</v>
      </c>
      <c r="G160" s="8">
        <v>53</v>
      </c>
      <c r="H160" s="8">
        <v>44</v>
      </c>
      <c r="J160" t="str">
        <f t="shared" si="18"/>
        <v>Cyprus</v>
      </c>
      <c r="K160" t="s">
        <v>110</v>
      </c>
      <c r="L160" s="16">
        <f t="shared" si="19"/>
        <v>0.21111111111111111</v>
      </c>
      <c r="M160" s="16">
        <f t="shared" si="20"/>
        <v>0.21111111111111111</v>
      </c>
      <c r="N160" s="16">
        <f t="shared" si="21"/>
        <v>0.21851851851851853</v>
      </c>
      <c r="O160" s="16">
        <f t="shared" si="22"/>
        <v>0.1962962962962963</v>
      </c>
      <c r="P160" s="16">
        <f t="shared" si="23"/>
        <v>0.16296296296296298</v>
      </c>
    </row>
    <row r="161" spans="1:16" x14ac:dyDescent="0.3">
      <c r="A161" s="5" t="s">
        <v>71</v>
      </c>
      <c r="B161" s="5" t="s">
        <v>46</v>
      </c>
      <c r="C161" s="5" t="s">
        <v>47</v>
      </c>
      <c r="D161" s="7">
        <v>104</v>
      </c>
      <c r="E161" s="7">
        <v>101</v>
      </c>
      <c r="F161" s="7">
        <v>124</v>
      </c>
      <c r="G161" s="7">
        <v>126</v>
      </c>
      <c r="H161" s="7">
        <v>124</v>
      </c>
      <c r="J161" t="str">
        <f t="shared" si="18"/>
        <v>Cyprus</v>
      </c>
      <c r="K161" t="s">
        <v>111</v>
      </c>
      <c r="L161" s="16">
        <f t="shared" si="19"/>
        <v>0.17962003454231434</v>
      </c>
      <c r="M161" s="16">
        <f t="shared" si="20"/>
        <v>0.17443868739205526</v>
      </c>
      <c r="N161" s="16">
        <f t="shared" si="21"/>
        <v>0.21416234887737479</v>
      </c>
      <c r="O161" s="16">
        <f t="shared" si="22"/>
        <v>0.21761658031088082</v>
      </c>
      <c r="P161" s="16">
        <f t="shared" si="23"/>
        <v>0.21416234887737479</v>
      </c>
    </row>
    <row r="162" spans="1:16" x14ac:dyDescent="0.3">
      <c r="A162" s="5" t="s">
        <v>71</v>
      </c>
      <c r="B162" s="5" t="s">
        <v>48</v>
      </c>
      <c r="C162" s="5" t="s">
        <v>49</v>
      </c>
      <c r="D162" s="8">
        <v>41</v>
      </c>
      <c r="E162" s="8">
        <v>43</v>
      </c>
      <c r="F162" s="8">
        <v>44</v>
      </c>
      <c r="G162" s="8">
        <v>42</v>
      </c>
      <c r="H162" s="8">
        <v>37</v>
      </c>
      <c r="J162" t="str">
        <f t="shared" si="18"/>
        <v>Cyprus</v>
      </c>
      <c r="K162" t="s">
        <v>112</v>
      </c>
      <c r="L162" s="16">
        <f t="shared" si="19"/>
        <v>0.19806763285024154</v>
      </c>
      <c r="M162" s="16">
        <f t="shared" si="20"/>
        <v>0.20772946859903382</v>
      </c>
      <c r="N162" s="16">
        <f t="shared" si="21"/>
        <v>0.21256038647342995</v>
      </c>
      <c r="O162" s="16">
        <f t="shared" si="22"/>
        <v>0.20289855072463769</v>
      </c>
      <c r="P162" s="16">
        <f t="shared" si="23"/>
        <v>0.17874396135265699</v>
      </c>
    </row>
    <row r="163" spans="1:16" x14ac:dyDescent="0.3">
      <c r="A163" s="5" t="s">
        <v>71</v>
      </c>
      <c r="B163" s="5" t="s">
        <v>50</v>
      </c>
      <c r="C163" s="5" t="s">
        <v>51</v>
      </c>
      <c r="D163" s="7">
        <v>26</v>
      </c>
      <c r="E163" s="7">
        <v>38</v>
      </c>
      <c r="F163" s="7">
        <v>43</v>
      </c>
      <c r="G163" s="7">
        <v>46</v>
      </c>
      <c r="H163" s="7">
        <v>50</v>
      </c>
      <c r="J163" t="str">
        <f t="shared" si="18"/>
        <v>Cyprus</v>
      </c>
      <c r="K163" t="s">
        <v>113</v>
      </c>
      <c r="L163" s="16">
        <f t="shared" si="19"/>
        <v>0.12807881773399016</v>
      </c>
      <c r="M163" s="16">
        <f t="shared" si="20"/>
        <v>0.18719211822660098</v>
      </c>
      <c r="N163" s="16">
        <f t="shared" si="21"/>
        <v>0.21182266009852216</v>
      </c>
      <c r="O163" s="16">
        <f t="shared" si="22"/>
        <v>0.22660098522167488</v>
      </c>
      <c r="P163" s="16">
        <f t="shared" si="23"/>
        <v>0.24630541871921183</v>
      </c>
    </row>
    <row r="164" spans="1:16" x14ac:dyDescent="0.3">
      <c r="A164" s="5" t="s">
        <v>71</v>
      </c>
      <c r="B164" s="5" t="s">
        <v>52</v>
      </c>
      <c r="C164" s="5" t="s">
        <v>53</v>
      </c>
      <c r="D164" s="8">
        <v>10</v>
      </c>
      <c r="E164" s="8">
        <v>15</v>
      </c>
      <c r="F164" s="8">
        <v>29</v>
      </c>
      <c r="G164" s="8">
        <v>53</v>
      </c>
      <c r="H164" s="8">
        <v>67</v>
      </c>
      <c r="J164" t="str">
        <f t="shared" si="18"/>
        <v>Cyprus</v>
      </c>
      <c r="K164" t="s">
        <v>114</v>
      </c>
      <c r="L164" s="16">
        <f t="shared" si="19"/>
        <v>5.7471264367816091E-2</v>
      </c>
      <c r="M164" s="16">
        <f t="shared" si="20"/>
        <v>8.6206896551724144E-2</v>
      </c>
      <c r="N164" s="16">
        <f t="shared" si="21"/>
        <v>0.16666666666666666</v>
      </c>
      <c r="O164" s="16">
        <f t="shared" si="22"/>
        <v>0.3045977011494253</v>
      </c>
      <c r="P164" s="16">
        <f t="shared" si="23"/>
        <v>0.38505747126436779</v>
      </c>
    </row>
    <row r="165" spans="1:16" x14ac:dyDescent="0.3">
      <c r="A165" s="5" t="s">
        <v>71</v>
      </c>
      <c r="B165" s="5" t="s">
        <v>54</v>
      </c>
      <c r="C165" s="5" t="s">
        <v>55</v>
      </c>
      <c r="D165" s="7">
        <v>44</v>
      </c>
      <c r="E165" s="7">
        <v>63</v>
      </c>
      <c r="F165" s="7">
        <v>80</v>
      </c>
      <c r="G165" s="7">
        <v>92</v>
      </c>
      <c r="H165" s="7">
        <v>112</v>
      </c>
      <c r="J165" t="str">
        <f t="shared" si="18"/>
        <v>Cyprus</v>
      </c>
      <c r="K165" t="s">
        <v>115</v>
      </c>
      <c r="L165" s="16">
        <f t="shared" si="19"/>
        <v>0.11253196930946291</v>
      </c>
      <c r="M165" s="16">
        <f t="shared" si="20"/>
        <v>0.16112531969309463</v>
      </c>
      <c r="N165" s="16">
        <f t="shared" si="21"/>
        <v>0.20460358056265984</v>
      </c>
      <c r="O165" s="16">
        <f t="shared" si="22"/>
        <v>0.23529411764705882</v>
      </c>
      <c r="P165" s="16">
        <f t="shared" si="23"/>
        <v>0.28644501278772377</v>
      </c>
    </row>
    <row r="166" spans="1:16" x14ac:dyDescent="0.3">
      <c r="A166" s="5" t="s">
        <v>71</v>
      </c>
      <c r="B166" s="5" t="s">
        <v>56</v>
      </c>
      <c r="C166" s="5" t="s">
        <v>57</v>
      </c>
      <c r="D166" s="8">
        <v>53</v>
      </c>
      <c r="E166" s="8">
        <v>67</v>
      </c>
      <c r="F166" s="8">
        <v>74</v>
      </c>
      <c r="G166" s="8">
        <v>76</v>
      </c>
      <c r="H166" s="8">
        <v>83</v>
      </c>
      <c r="J166" t="str">
        <f t="shared" si="18"/>
        <v>Cyprus</v>
      </c>
      <c r="K166" t="s">
        <v>116</v>
      </c>
      <c r="L166" s="16">
        <f t="shared" si="19"/>
        <v>0.1501416430594901</v>
      </c>
      <c r="M166" s="16">
        <f t="shared" si="20"/>
        <v>0.18980169971671387</v>
      </c>
      <c r="N166" s="16">
        <f t="shared" si="21"/>
        <v>0.20963172804532579</v>
      </c>
      <c r="O166" s="16">
        <f t="shared" si="22"/>
        <v>0.21529745042492918</v>
      </c>
      <c r="P166" s="16">
        <f t="shared" si="23"/>
        <v>0.23512747875354106</v>
      </c>
    </row>
    <row r="167" spans="1:16" x14ac:dyDescent="0.3">
      <c r="A167" s="5" t="s">
        <v>72</v>
      </c>
      <c r="B167" s="5" t="s">
        <v>34</v>
      </c>
      <c r="C167" s="5" t="s">
        <v>35</v>
      </c>
      <c r="D167" s="7">
        <v>298</v>
      </c>
      <c r="E167" s="7">
        <v>286</v>
      </c>
      <c r="F167" s="7">
        <v>269</v>
      </c>
      <c r="G167" s="7">
        <v>250</v>
      </c>
      <c r="H167" s="7">
        <v>194</v>
      </c>
      <c r="J167" t="str">
        <f t="shared" si="18"/>
        <v>Latvia</v>
      </c>
      <c r="K167" t="s">
        <v>105</v>
      </c>
      <c r="L167" s="16">
        <f t="shared" si="19"/>
        <v>0.22976098689282962</v>
      </c>
      <c r="M167" s="16">
        <f t="shared" si="20"/>
        <v>0.220508866615266</v>
      </c>
      <c r="N167" s="16">
        <f t="shared" si="21"/>
        <v>0.20740169622205087</v>
      </c>
      <c r="O167" s="16">
        <f t="shared" si="22"/>
        <v>0.19275250578257516</v>
      </c>
      <c r="P167" s="16">
        <f t="shared" si="23"/>
        <v>0.14957594448727835</v>
      </c>
    </row>
    <row r="168" spans="1:16" x14ac:dyDescent="0.3">
      <c r="A168" s="5" t="s">
        <v>72</v>
      </c>
      <c r="B168" s="5" t="s">
        <v>36</v>
      </c>
      <c r="C168" s="5" t="s">
        <v>37</v>
      </c>
      <c r="D168" s="8">
        <v>24</v>
      </c>
      <c r="E168" s="8">
        <v>30</v>
      </c>
      <c r="F168" s="8">
        <v>30</v>
      </c>
      <c r="G168" s="8">
        <v>33</v>
      </c>
      <c r="H168" s="8">
        <v>30</v>
      </c>
      <c r="J168" t="str">
        <f t="shared" si="18"/>
        <v>Latvia</v>
      </c>
      <c r="K168" t="s">
        <v>106</v>
      </c>
      <c r="L168" s="16">
        <f t="shared" si="19"/>
        <v>0.16326530612244897</v>
      </c>
      <c r="M168" s="16">
        <f t="shared" si="20"/>
        <v>0.20408163265306123</v>
      </c>
      <c r="N168" s="16">
        <f t="shared" si="21"/>
        <v>0.20408163265306123</v>
      </c>
      <c r="O168" s="16">
        <f t="shared" si="22"/>
        <v>0.22448979591836735</v>
      </c>
      <c r="P168" s="16">
        <f t="shared" si="23"/>
        <v>0.20408163265306123</v>
      </c>
    </row>
    <row r="169" spans="1:16" x14ac:dyDescent="0.3">
      <c r="A169" s="5" t="s">
        <v>72</v>
      </c>
      <c r="B169" s="5" t="s">
        <v>38</v>
      </c>
      <c r="C169" s="5" t="s">
        <v>39</v>
      </c>
      <c r="D169" s="7">
        <v>27</v>
      </c>
      <c r="E169" s="7">
        <v>42</v>
      </c>
      <c r="F169" s="7">
        <v>45</v>
      </c>
      <c r="G169" s="7">
        <v>54</v>
      </c>
      <c r="H169" s="7">
        <v>70</v>
      </c>
      <c r="J169" t="str">
        <f t="shared" si="18"/>
        <v>Latvia</v>
      </c>
      <c r="K169" t="s">
        <v>107</v>
      </c>
      <c r="L169" s="16">
        <f t="shared" si="19"/>
        <v>0.1134453781512605</v>
      </c>
      <c r="M169" s="16">
        <f t="shared" si="20"/>
        <v>0.17647058823529413</v>
      </c>
      <c r="N169" s="16">
        <f t="shared" si="21"/>
        <v>0.18907563025210083</v>
      </c>
      <c r="O169" s="16">
        <f t="shared" si="22"/>
        <v>0.22689075630252101</v>
      </c>
      <c r="P169" s="16">
        <f t="shared" si="23"/>
        <v>0.29411764705882354</v>
      </c>
    </row>
    <row r="170" spans="1:16" x14ac:dyDescent="0.3">
      <c r="A170" s="5" t="s">
        <v>72</v>
      </c>
      <c r="B170" s="5" t="s">
        <v>40</v>
      </c>
      <c r="C170" s="5" t="s">
        <v>41</v>
      </c>
      <c r="D170" s="8">
        <v>352</v>
      </c>
      <c r="E170" s="8">
        <v>289</v>
      </c>
      <c r="F170" s="8">
        <v>248</v>
      </c>
      <c r="G170" s="8">
        <v>220</v>
      </c>
      <c r="H170" s="8">
        <v>199</v>
      </c>
      <c r="J170" t="str">
        <f t="shared" si="18"/>
        <v>Latvia</v>
      </c>
      <c r="K170" t="s">
        <v>108</v>
      </c>
      <c r="L170" s="16">
        <f t="shared" si="19"/>
        <v>0.26911314984709478</v>
      </c>
      <c r="M170" s="16">
        <f t="shared" si="20"/>
        <v>0.22094801223241589</v>
      </c>
      <c r="N170" s="16">
        <f t="shared" si="21"/>
        <v>0.18960244648318042</v>
      </c>
      <c r="O170" s="16">
        <f t="shared" si="22"/>
        <v>0.16819571865443425</v>
      </c>
      <c r="P170" s="16">
        <f t="shared" si="23"/>
        <v>0.15214067278287463</v>
      </c>
    </row>
    <row r="171" spans="1:16" x14ac:dyDescent="0.3">
      <c r="A171" s="5" t="s">
        <v>72</v>
      </c>
      <c r="B171" s="5" t="s">
        <v>42</v>
      </c>
      <c r="C171" s="5" t="s">
        <v>43</v>
      </c>
      <c r="D171" s="7">
        <v>22</v>
      </c>
      <c r="E171" s="7">
        <v>33</v>
      </c>
      <c r="F171" s="7">
        <v>39</v>
      </c>
      <c r="G171" s="7">
        <v>42</v>
      </c>
      <c r="H171" s="7">
        <v>52</v>
      </c>
      <c r="J171" t="str">
        <f t="shared" si="18"/>
        <v>Latvia</v>
      </c>
      <c r="K171" t="s">
        <v>109</v>
      </c>
      <c r="L171" s="16">
        <f t="shared" si="19"/>
        <v>0.11702127659574468</v>
      </c>
      <c r="M171" s="16">
        <f t="shared" si="20"/>
        <v>0.17553191489361702</v>
      </c>
      <c r="N171" s="16">
        <f t="shared" si="21"/>
        <v>0.20744680851063829</v>
      </c>
      <c r="O171" s="16">
        <f t="shared" si="22"/>
        <v>0.22340425531914893</v>
      </c>
      <c r="P171" s="16">
        <f t="shared" si="23"/>
        <v>0.27659574468085107</v>
      </c>
    </row>
    <row r="172" spans="1:16" x14ac:dyDescent="0.3">
      <c r="A172" s="5" t="s">
        <v>72</v>
      </c>
      <c r="B172" s="5" t="s">
        <v>44</v>
      </c>
      <c r="C172" s="5" t="s">
        <v>45</v>
      </c>
      <c r="D172" s="8">
        <v>101</v>
      </c>
      <c r="E172" s="8">
        <v>77</v>
      </c>
      <c r="F172" s="8">
        <v>72</v>
      </c>
      <c r="G172" s="8">
        <v>49</v>
      </c>
      <c r="H172" s="8">
        <v>41</v>
      </c>
      <c r="J172" t="str">
        <f t="shared" si="18"/>
        <v>Latvia</v>
      </c>
      <c r="K172" t="s">
        <v>110</v>
      </c>
      <c r="L172" s="16">
        <f t="shared" si="19"/>
        <v>0.29705882352941176</v>
      </c>
      <c r="M172" s="16">
        <f t="shared" si="20"/>
        <v>0.22647058823529412</v>
      </c>
      <c r="N172" s="16">
        <f t="shared" si="21"/>
        <v>0.21176470588235294</v>
      </c>
      <c r="O172" s="16">
        <f t="shared" si="22"/>
        <v>0.14411764705882352</v>
      </c>
      <c r="P172" s="16">
        <f t="shared" si="23"/>
        <v>0.12058823529411765</v>
      </c>
    </row>
    <row r="173" spans="1:16" x14ac:dyDescent="0.3">
      <c r="A173" s="5" t="s">
        <v>72</v>
      </c>
      <c r="B173" s="5" t="s">
        <v>46</v>
      </c>
      <c r="C173" s="5" t="s">
        <v>47</v>
      </c>
      <c r="D173" s="7">
        <v>37</v>
      </c>
      <c r="E173" s="7">
        <v>71</v>
      </c>
      <c r="F173" s="7">
        <v>104</v>
      </c>
      <c r="G173" s="7">
        <v>127</v>
      </c>
      <c r="H173" s="7">
        <v>154</v>
      </c>
      <c r="J173" t="str">
        <f t="shared" si="18"/>
        <v>Latvia</v>
      </c>
      <c r="K173" t="s">
        <v>111</v>
      </c>
      <c r="L173" s="16">
        <f t="shared" si="19"/>
        <v>7.5050709939148072E-2</v>
      </c>
      <c r="M173" s="16">
        <f t="shared" si="20"/>
        <v>0.1440162271805274</v>
      </c>
      <c r="N173" s="16">
        <f t="shared" si="21"/>
        <v>0.21095334685598377</v>
      </c>
      <c r="O173" s="16">
        <f t="shared" si="22"/>
        <v>0.25760649087221094</v>
      </c>
      <c r="P173" s="16">
        <f t="shared" si="23"/>
        <v>0.31237322515212984</v>
      </c>
    </row>
    <row r="174" spans="1:16" x14ac:dyDescent="0.3">
      <c r="A174" s="5" t="s">
        <v>72</v>
      </c>
      <c r="B174" s="5" t="s">
        <v>48</v>
      </c>
      <c r="C174" s="5" t="s">
        <v>49</v>
      </c>
      <c r="D174" s="8">
        <v>38</v>
      </c>
      <c r="E174" s="8">
        <v>42</v>
      </c>
      <c r="F174" s="8">
        <v>43</v>
      </c>
      <c r="G174" s="8">
        <v>44</v>
      </c>
      <c r="H174" s="8">
        <v>35</v>
      </c>
      <c r="J174" t="str">
        <f t="shared" si="18"/>
        <v>Latvia</v>
      </c>
      <c r="K174" t="s">
        <v>112</v>
      </c>
      <c r="L174" s="16">
        <f t="shared" si="19"/>
        <v>0.18811881188118812</v>
      </c>
      <c r="M174" s="16">
        <f t="shared" si="20"/>
        <v>0.20792079207920791</v>
      </c>
      <c r="N174" s="16">
        <f t="shared" si="21"/>
        <v>0.21287128712871287</v>
      </c>
      <c r="O174" s="16">
        <f t="shared" si="22"/>
        <v>0.21782178217821782</v>
      </c>
      <c r="P174" s="16">
        <f t="shared" si="23"/>
        <v>0.17326732673267325</v>
      </c>
    </row>
    <row r="175" spans="1:16" x14ac:dyDescent="0.3">
      <c r="A175" s="5" t="s">
        <v>72</v>
      </c>
      <c r="B175" s="5" t="s">
        <v>50</v>
      </c>
      <c r="C175" s="5" t="s">
        <v>51</v>
      </c>
      <c r="D175" s="7">
        <v>48</v>
      </c>
      <c r="E175" s="7">
        <v>56</v>
      </c>
      <c r="F175" s="7">
        <v>56</v>
      </c>
      <c r="G175" s="7">
        <v>70</v>
      </c>
      <c r="H175" s="7">
        <v>89</v>
      </c>
      <c r="J175" t="str">
        <f t="shared" si="18"/>
        <v>Latvia</v>
      </c>
      <c r="K175" t="s">
        <v>113</v>
      </c>
      <c r="L175" s="16">
        <f t="shared" si="19"/>
        <v>0.15047021943573669</v>
      </c>
      <c r="M175" s="16">
        <f t="shared" si="20"/>
        <v>0.17554858934169279</v>
      </c>
      <c r="N175" s="16">
        <f t="shared" si="21"/>
        <v>0.17554858934169279</v>
      </c>
      <c r="O175" s="16">
        <f t="shared" si="22"/>
        <v>0.21943573667711599</v>
      </c>
      <c r="P175" s="16">
        <f t="shared" si="23"/>
        <v>0.27899686520376177</v>
      </c>
    </row>
    <row r="176" spans="1:16" x14ac:dyDescent="0.3">
      <c r="A176" s="5" t="s">
        <v>72</v>
      </c>
      <c r="B176" s="5" t="s">
        <v>52</v>
      </c>
      <c r="C176" s="5" t="s">
        <v>53</v>
      </c>
      <c r="D176" s="8">
        <v>1</v>
      </c>
      <c r="E176" s="8">
        <v>9</v>
      </c>
      <c r="F176" s="8">
        <v>10</v>
      </c>
      <c r="G176" s="8">
        <v>11</v>
      </c>
      <c r="H176" s="8">
        <v>16</v>
      </c>
      <c r="J176" t="str">
        <f t="shared" si="18"/>
        <v>Latvia</v>
      </c>
      <c r="K176" t="s">
        <v>114</v>
      </c>
      <c r="L176" s="16">
        <f t="shared" si="19"/>
        <v>2.1276595744680851E-2</v>
      </c>
      <c r="M176" s="16">
        <f t="shared" si="20"/>
        <v>0.19148936170212766</v>
      </c>
      <c r="N176" s="16">
        <f t="shared" si="21"/>
        <v>0.21276595744680851</v>
      </c>
      <c r="O176" s="16">
        <f t="shared" si="22"/>
        <v>0.23404255319148937</v>
      </c>
      <c r="P176" s="16">
        <f t="shared" si="23"/>
        <v>0.34042553191489361</v>
      </c>
    </row>
    <row r="177" spans="1:16" x14ac:dyDescent="0.3">
      <c r="A177" s="5" t="s">
        <v>72</v>
      </c>
      <c r="B177" s="5" t="s">
        <v>54</v>
      </c>
      <c r="C177" s="5" t="s">
        <v>55</v>
      </c>
      <c r="D177" s="7">
        <v>20</v>
      </c>
      <c r="E177" s="7">
        <v>25</v>
      </c>
      <c r="F177" s="7">
        <v>34</v>
      </c>
      <c r="G177" s="7">
        <v>44</v>
      </c>
      <c r="H177" s="7">
        <v>61</v>
      </c>
      <c r="J177" t="str">
        <f t="shared" si="18"/>
        <v>Latvia</v>
      </c>
      <c r="K177" t="s">
        <v>115</v>
      </c>
      <c r="L177" s="16">
        <f t="shared" si="19"/>
        <v>0.10869565217391304</v>
      </c>
      <c r="M177" s="16">
        <f t="shared" si="20"/>
        <v>0.1358695652173913</v>
      </c>
      <c r="N177" s="16">
        <f t="shared" si="21"/>
        <v>0.18478260869565216</v>
      </c>
      <c r="O177" s="16">
        <f t="shared" si="22"/>
        <v>0.2391304347826087</v>
      </c>
      <c r="P177" s="16">
        <f t="shared" si="23"/>
        <v>0.33152173913043476</v>
      </c>
    </row>
    <row r="178" spans="1:16" x14ac:dyDescent="0.3">
      <c r="A178" s="5" t="s">
        <v>72</v>
      </c>
      <c r="B178" s="5" t="s">
        <v>56</v>
      </c>
      <c r="C178" s="5" t="s">
        <v>57</v>
      </c>
      <c r="D178" s="8">
        <v>32</v>
      </c>
      <c r="E178" s="8">
        <v>40</v>
      </c>
      <c r="F178" s="8">
        <v>49</v>
      </c>
      <c r="G178" s="8">
        <v>56</v>
      </c>
      <c r="H178" s="8">
        <v>58</v>
      </c>
      <c r="J178" t="str">
        <f t="shared" si="18"/>
        <v>Latvia</v>
      </c>
      <c r="K178" t="s">
        <v>116</v>
      </c>
      <c r="L178" s="16">
        <f t="shared" si="19"/>
        <v>0.13617021276595745</v>
      </c>
      <c r="M178" s="16">
        <f t="shared" si="20"/>
        <v>0.1702127659574468</v>
      </c>
      <c r="N178" s="16">
        <f t="shared" si="21"/>
        <v>0.20851063829787234</v>
      </c>
      <c r="O178" s="16">
        <f t="shared" si="22"/>
        <v>0.23829787234042554</v>
      </c>
      <c r="P178" s="16">
        <f t="shared" si="23"/>
        <v>0.24680851063829787</v>
      </c>
    </row>
    <row r="179" spans="1:16" x14ac:dyDescent="0.3">
      <c r="A179" s="5" t="s">
        <v>73</v>
      </c>
      <c r="B179" s="5" t="s">
        <v>34</v>
      </c>
      <c r="C179" s="5" t="s">
        <v>35</v>
      </c>
      <c r="D179" s="7">
        <v>328</v>
      </c>
      <c r="E179" s="7">
        <v>287</v>
      </c>
      <c r="F179" s="7">
        <v>264</v>
      </c>
      <c r="G179" s="7">
        <v>241</v>
      </c>
      <c r="H179" s="7">
        <v>199</v>
      </c>
      <c r="J179" t="str">
        <f t="shared" si="18"/>
        <v>Lithuania</v>
      </c>
      <c r="K179" t="s">
        <v>105</v>
      </c>
      <c r="L179" s="16">
        <f t="shared" si="19"/>
        <v>0.24867323730098559</v>
      </c>
      <c r="M179" s="16">
        <f t="shared" si="20"/>
        <v>0.21758908263836241</v>
      </c>
      <c r="N179" s="16">
        <f t="shared" si="21"/>
        <v>0.2001516300227445</v>
      </c>
      <c r="O179" s="16">
        <f t="shared" si="22"/>
        <v>0.18271417740712662</v>
      </c>
      <c r="P179" s="16">
        <f t="shared" si="23"/>
        <v>0.15087187263078089</v>
      </c>
    </row>
    <row r="180" spans="1:16" x14ac:dyDescent="0.3">
      <c r="A180" s="5" t="s">
        <v>73</v>
      </c>
      <c r="B180" s="5" t="s">
        <v>36</v>
      </c>
      <c r="C180" s="5" t="s">
        <v>37</v>
      </c>
      <c r="D180" s="8">
        <v>45</v>
      </c>
      <c r="E180" s="8">
        <v>33</v>
      </c>
      <c r="F180" s="8">
        <v>34</v>
      </c>
      <c r="G180" s="8">
        <v>28</v>
      </c>
      <c r="H180" s="8">
        <v>26</v>
      </c>
      <c r="J180" t="str">
        <f t="shared" si="18"/>
        <v>Lithuania</v>
      </c>
      <c r="K180" t="s">
        <v>106</v>
      </c>
      <c r="L180" s="16">
        <f t="shared" si="19"/>
        <v>0.27108433734939757</v>
      </c>
      <c r="M180" s="16">
        <f t="shared" si="20"/>
        <v>0.19879518072289157</v>
      </c>
      <c r="N180" s="16">
        <f t="shared" si="21"/>
        <v>0.20481927710843373</v>
      </c>
      <c r="O180" s="16">
        <f t="shared" si="22"/>
        <v>0.16867469879518071</v>
      </c>
      <c r="P180" s="16">
        <f t="shared" si="23"/>
        <v>0.15662650602409639</v>
      </c>
    </row>
    <row r="181" spans="1:16" x14ac:dyDescent="0.3">
      <c r="A181" s="5" t="s">
        <v>73</v>
      </c>
      <c r="B181" s="5" t="s">
        <v>38</v>
      </c>
      <c r="C181" s="5" t="s">
        <v>39</v>
      </c>
      <c r="D181" s="7">
        <v>32</v>
      </c>
      <c r="E181" s="7">
        <v>40</v>
      </c>
      <c r="F181" s="7">
        <v>43</v>
      </c>
      <c r="G181" s="7">
        <v>51</v>
      </c>
      <c r="H181" s="7">
        <v>73</v>
      </c>
      <c r="J181" t="str">
        <f t="shared" si="18"/>
        <v>Lithuania</v>
      </c>
      <c r="K181" t="s">
        <v>107</v>
      </c>
      <c r="L181" s="16">
        <f t="shared" si="19"/>
        <v>0.13389121338912133</v>
      </c>
      <c r="M181" s="16">
        <f t="shared" si="20"/>
        <v>0.16736401673640167</v>
      </c>
      <c r="N181" s="16">
        <f t="shared" si="21"/>
        <v>0.1799163179916318</v>
      </c>
      <c r="O181" s="16">
        <f t="shared" si="22"/>
        <v>0.21338912133891214</v>
      </c>
      <c r="P181" s="16">
        <f t="shared" si="23"/>
        <v>0.30543933054393307</v>
      </c>
    </row>
    <row r="182" spans="1:16" x14ac:dyDescent="0.3">
      <c r="A182" s="5" t="s">
        <v>73</v>
      </c>
      <c r="B182" s="5" t="s">
        <v>40</v>
      </c>
      <c r="C182" s="5" t="s">
        <v>41</v>
      </c>
      <c r="D182" s="8">
        <v>332</v>
      </c>
      <c r="E182" s="8">
        <v>365</v>
      </c>
      <c r="F182" s="8">
        <v>369</v>
      </c>
      <c r="G182" s="8">
        <v>342</v>
      </c>
      <c r="H182" s="8">
        <v>300</v>
      </c>
      <c r="J182" t="str">
        <f t="shared" si="18"/>
        <v>Lithuania</v>
      </c>
      <c r="K182" t="s">
        <v>108</v>
      </c>
      <c r="L182" s="16">
        <f t="shared" si="19"/>
        <v>0.19437939110070257</v>
      </c>
      <c r="M182" s="16">
        <f t="shared" si="20"/>
        <v>0.21370023419203746</v>
      </c>
      <c r="N182" s="16">
        <f t="shared" si="21"/>
        <v>0.21604215456674472</v>
      </c>
      <c r="O182" s="16">
        <f t="shared" si="22"/>
        <v>0.20023419203747073</v>
      </c>
      <c r="P182" s="16">
        <f t="shared" si="23"/>
        <v>0.1756440281030445</v>
      </c>
    </row>
    <row r="183" spans="1:16" x14ac:dyDescent="0.3">
      <c r="A183" s="5" t="s">
        <v>73</v>
      </c>
      <c r="B183" s="5" t="s">
        <v>42</v>
      </c>
      <c r="C183" s="5" t="s">
        <v>43</v>
      </c>
      <c r="D183" s="7">
        <v>38</v>
      </c>
      <c r="E183" s="7">
        <v>40</v>
      </c>
      <c r="F183" s="7">
        <v>40</v>
      </c>
      <c r="G183" s="7">
        <v>42</v>
      </c>
      <c r="H183" s="7">
        <v>46</v>
      </c>
      <c r="J183" t="str">
        <f t="shared" si="18"/>
        <v>Lithuania</v>
      </c>
      <c r="K183" t="s">
        <v>109</v>
      </c>
      <c r="L183" s="16">
        <f t="shared" si="19"/>
        <v>0.18446601941747573</v>
      </c>
      <c r="M183" s="16">
        <f t="shared" si="20"/>
        <v>0.1941747572815534</v>
      </c>
      <c r="N183" s="16">
        <f t="shared" si="21"/>
        <v>0.1941747572815534</v>
      </c>
      <c r="O183" s="16">
        <f t="shared" si="22"/>
        <v>0.20388349514563106</v>
      </c>
      <c r="P183" s="16">
        <f t="shared" si="23"/>
        <v>0.22330097087378642</v>
      </c>
    </row>
    <row r="184" spans="1:16" x14ac:dyDescent="0.3">
      <c r="A184" s="5" t="s">
        <v>73</v>
      </c>
      <c r="B184" s="5" t="s">
        <v>44</v>
      </c>
      <c r="C184" s="5" t="s">
        <v>45</v>
      </c>
      <c r="D184" s="8">
        <v>73</v>
      </c>
      <c r="E184" s="8">
        <v>56</v>
      </c>
      <c r="F184" s="8">
        <v>52</v>
      </c>
      <c r="G184" s="8">
        <v>53</v>
      </c>
      <c r="H184" s="8">
        <v>43</v>
      </c>
      <c r="J184" t="str">
        <f t="shared" si="18"/>
        <v>Lithuania</v>
      </c>
      <c r="K184" t="s">
        <v>110</v>
      </c>
      <c r="L184" s="16">
        <f t="shared" si="19"/>
        <v>0.26353790613718414</v>
      </c>
      <c r="M184" s="16">
        <f t="shared" si="20"/>
        <v>0.20216606498194944</v>
      </c>
      <c r="N184" s="16">
        <f t="shared" si="21"/>
        <v>0.18772563176895307</v>
      </c>
      <c r="O184" s="16">
        <f t="shared" si="22"/>
        <v>0.19133574007220217</v>
      </c>
      <c r="P184" s="16">
        <f t="shared" si="23"/>
        <v>0.1552346570397112</v>
      </c>
    </row>
    <row r="185" spans="1:16" x14ac:dyDescent="0.3">
      <c r="A185" s="5" t="s">
        <v>73</v>
      </c>
      <c r="B185" s="5" t="s">
        <v>46</v>
      </c>
      <c r="C185" s="5" t="s">
        <v>47</v>
      </c>
      <c r="D185" s="7">
        <v>35</v>
      </c>
      <c r="E185" s="7">
        <v>52</v>
      </c>
      <c r="F185" s="7">
        <v>61</v>
      </c>
      <c r="G185" s="7">
        <v>87</v>
      </c>
      <c r="H185" s="7">
        <v>110</v>
      </c>
      <c r="J185" t="str">
        <f t="shared" si="18"/>
        <v>Lithuania</v>
      </c>
      <c r="K185" t="s">
        <v>111</v>
      </c>
      <c r="L185" s="16">
        <f t="shared" si="19"/>
        <v>0.10144927536231885</v>
      </c>
      <c r="M185" s="16">
        <f t="shared" si="20"/>
        <v>0.15072463768115943</v>
      </c>
      <c r="N185" s="16">
        <f t="shared" si="21"/>
        <v>0.17681159420289855</v>
      </c>
      <c r="O185" s="16">
        <f t="shared" si="22"/>
        <v>0.25217391304347825</v>
      </c>
      <c r="P185" s="16">
        <f t="shared" si="23"/>
        <v>0.3188405797101449</v>
      </c>
    </row>
    <row r="186" spans="1:16" x14ac:dyDescent="0.3">
      <c r="A186" s="5" t="s">
        <v>73</v>
      </c>
      <c r="B186" s="5" t="s">
        <v>48</v>
      </c>
      <c r="C186" s="5" t="s">
        <v>49</v>
      </c>
      <c r="D186" s="8">
        <v>29</v>
      </c>
      <c r="E186" s="8">
        <v>33</v>
      </c>
      <c r="F186" s="8">
        <v>34</v>
      </c>
      <c r="G186" s="8">
        <v>35</v>
      </c>
      <c r="H186" s="8">
        <v>33</v>
      </c>
      <c r="J186" t="str">
        <f t="shared" si="18"/>
        <v>Lithuania</v>
      </c>
      <c r="K186" t="s">
        <v>112</v>
      </c>
      <c r="L186" s="16">
        <f t="shared" si="19"/>
        <v>0.17682926829268292</v>
      </c>
      <c r="M186" s="16">
        <f t="shared" si="20"/>
        <v>0.20121951219512196</v>
      </c>
      <c r="N186" s="16">
        <f t="shared" si="21"/>
        <v>0.2073170731707317</v>
      </c>
      <c r="O186" s="16">
        <f t="shared" si="22"/>
        <v>0.21341463414634146</v>
      </c>
      <c r="P186" s="16">
        <f t="shared" si="23"/>
        <v>0.20121951219512196</v>
      </c>
    </row>
    <row r="187" spans="1:16" x14ac:dyDescent="0.3">
      <c r="A187" s="5" t="s">
        <v>73</v>
      </c>
      <c r="B187" s="5" t="s">
        <v>50</v>
      </c>
      <c r="C187" s="5" t="s">
        <v>51</v>
      </c>
      <c r="D187" s="7">
        <v>32</v>
      </c>
      <c r="E187" s="7">
        <v>38</v>
      </c>
      <c r="F187" s="7">
        <v>42</v>
      </c>
      <c r="G187" s="7">
        <v>45</v>
      </c>
      <c r="H187" s="7">
        <v>66</v>
      </c>
      <c r="J187" t="str">
        <f t="shared" si="18"/>
        <v>Lithuania</v>
      </c>
      <c r="K187" t="s">
        <v>113</v>
      </c>
      <c r="L187" s="16">
        <f t="shared" si="19"/>
        <v>0.14349775784753363</v>
      </c>
      <c r="M187" s="16">
        <f t="shared" si="20"/>
        <v>0.17040358744394618</v>
      </c>
      <c r="N187" s="16">
        <f t="shared" si="21"/>
        <v>0.18834080717488788</v>
      </c>
      <c r="O187" s="16">
        <f t="shared" si="22"/>
        <v>0.20179372197309417</v>
      </c>
      <c r="P187" s="16">
        <f t="shared" si="23"/>
        <v>0.29596412556053814</v>
      </c>
    </row>
    <row r="188" spans="1:16" x14ac:dyDescent="0.3">
      <c r="A188" s="5" t="s">
        <v>73</v>
      </c>
      <c r="B188" s="5" t="s">
        <v>52</v>
      </c>
      <c r="C188" s="5" t="s">
        <v>53</v>
      </c>
      <c r="D188" s="8">
        <v>1</v>
      </c>
      <c r="E188" s="8">
        <v>3</v>
      </c>
      <c r="F188" s="8">
        <v>4</v>
      </c>
      <c r="G188" s="8">
        <v>7</v>
      </c>
      <c r="H188" s="8">
        <v>9</v>
      </c>
      <c r="J188" t="str">
        <f t="shared" si="18"/>
        <v>Lithuania</v>
      </c>
      <c r="K188" t="s">
        <v>114</v>
      </c>
      <c r="L188" s="16">
        <f t="shared" si="19"/>
        <v>4.1666666666666664E-2</v>
      </c>
      <c r="M188" s="16">
        <f t="shared" si="20"/>
        <v>0.125</v>
      </c>
      <c r="N188" s="16">
        <f t="shared" si="21"/>
        <v>0.16666666666666666</v>
      </c>
      <c r="O188" s="16">
        <f t="shared" si="22"/>
        <v>0.29166666666666669</v>
      </c>
      <c r="P188" s="16">
        <f t="shared" si="23"/>
        <v>0.375</v>
      </c>
    </row>
    <row r="189" spans="1:16" x14ac:dyDescent="0.3">
      <c r="A189" s="5" t="s">
        <v>73</v>
      </c>
      <c r="B189" s="5" t="s">
        <v>54</v>
      </c>
      <c r="C189" s="5" t="s">
        <v>55</v>
      </c>
      <c r="D189" s="7">
        <v>16</v>
      </c>
      <c r="E189" s="7">
        <v>18</v>
      </c>
      <c r="F189" s="7">
        <v>20</v>
      </c>
      <c r="G189" s="7">
        <v>24</v>
      </c>
      <c r="H189" s="7">
        <v>43</v>
      </c>
      <c r="J189" t="str">
        <f t="shared" si="18"/>
        <v>Lithuania</v>
      </c>
      <c r="K189" t="s">
        <v>115</v>
      </c>
      <c r="L189" s="16">
        <f t="shared" si="19"/>
        <v>0.13223140495867769</v>
      </c>
      <c r="M189" s="16">
        <f t="shared" si="20"/>
        <v>0.1487603305785124</v>
      </c>
      <c r="N189" s="16">
        <f t="shared" si="21"/>
        <v>0.16528925619834711</v>
      </c>
      <c r="O189" s="16">
        <f t="shared" si="22"/>
        <v>0.19834710743801653</v>
      </c>
      <c r="P189" s="16">
        <f t="shared" si="23"/>
        <v>0.35537190082644626</v>
      </c>
    </row>
    <row r="190" spans="1:16" x14ac:dyDescent="0.3">
      <c r="A190" s="5" t="s">
        <v>73</v>
      </c>
      <c r="B190" s="5" t="s">
        <v>56</v>
      </c>
      <c r="C190" s="5" t="s">
        <v>57</v>
      </c>
      <c r="D190" s="8">
        <v>39</v>
      </c>
      <c r="E190" s="8">
        <v>37</v>
      </c>
      <c r="F190" s="8">
        <v>37</v>
      </c>
      <c r="G190" s="8">
        <v>47</v>
      </c>
      <c r="H190" s="8">
        <v>52</v>
      </c>
      <c r="J190" t="str">
        <f t="shared" si="18"/>
        <v>Lithuania</v>
      </c>
      <c r="K190" t="s">
        <v>116</v>
      </c>
      <c r="L190" s="16">
        <f t="shared" si="19"/>
        <v>0.18396226415094338</v>
      </c>
      <c r="M190" s="16">
        <f t="shared" si="20"/>
        <v>0.17452830188679244</v>
      </c>
      <c r="N190" s="16">
        <f t="shared" si="21"/>
        <v>0.17452830188679244</v>
      </c>
      <c r="O190" s="16">
        <f t="shared" si="22"/>
        <v>0.22169811320754718</v>
      </c>
      <c r="P190" s="16">
        <f t="shared" si="23"/>
        <v>0.24528301886792453</v>
      </c>
    </row>
    <row r="191" spans="1:16" x14ac:dyDescent="0.3">
      <c r="A191" s="5" t="s">
        <v>74</v>
      </c>
      <c r="B191" s="5" t="s">
        <v>34</v>
      </c>
      <c r="C191" s="5" t="s">
        <v>35</v>
      </c>
      <c r="D191" s="7">
        <v>109</v>
      </c>
      <c r="E191" s="7">
        <v>94</v>
      </c>
      <c r="F191" s="7">
        <v>98</v>
      </c>
      <c r="G191" s="7">
        <v>87</v>
      </c>
      <c r="H191" s="7">
        <v>72</v>
      </c>
      <c r="J191" t="str">
        <f t="shared" si="18"/>
        <v>Luxembourg</v>
      </c>
      <c r="K191" t="s">
        <v>105</v>
      </c>
      <c r="L191" s="16">
        <f t="shared" si="19"/>
        <v>0.23695652173913043</v>
      </c>
      <c r="M191" s="16">
        <f t="shared" si="20"/>
        <v>0.20434782608695654</v>
      </c>
      <c r="N191" s="16">
        <f t="shared" si="21"/>
        <v>0.21304347826086956</v>
      </c>
      <c r="O191" s="16">
        <f t="shared" si="22"/>
        <v>0.18913043478260869</v>
      </c>
      <c r="P191" s="16">
        <f t="shared" si="23"/>
        <v>0.15652173913043479</v>
      </c>
    </row>
    <row r="192" spans="1:16" x14ac:dyDescent="0.3">
      <c r="A192" s="5" t="s">
        <v>74</v>
      </c>
      <c r="B192" s="5" t="s">
        <v>36</v>
      </c>
      <c r="C192" s="5" t="s">
        <v>37</v>
      </c>
      <c r="D192" s="8">
        <v>18</v>
      </c>
      <c r="E192" s="8">
        <v>14</v>
      </c>
      <c r="F192" s="8">
        <v>16</v>
      </c>
      <c r="G192" s="8">
        <v>13</v>
      </c>
      <c r="H192" s="8">
        <v>11</v>
      </c>
      <c r="J192" t="str">
        <f t="shared" si="18"/>
        <v>Luxembourg</v>
      </c>
      <c r="K192" t="s">
        <v>106</v>
      </c>
      <c r="L192" s="16">
        <f t="shared" si="19"/>
        <v>0.25</v>
      </c>
      <c r="M192" s="16">
        <f t="shared" si="20"/>
        <v>0.19444444444444445</v>
      </c>
      <c r="N192" s="16">
        <f t="shared" si="21"/>
        <v>0.22222222222222221</v>
      </c>
      <c r="O192" s="16">
        <f t="shared" si="22"/>
        <v>0.18055555555555555</v>
      </c>
      <c r="P192" s="16">
        <f t="shared" si="23"/>
        <v>0.15277777777777779</v>
      </c>
    </row>
    <row r="193" spans="1:16" x14ac:dyDescent="0.3">
      <c r="A193" s="5" t="s">
        <v>74</v>
      </c>
      <c r="B193" s="5" t="s">
        <v>38</v>
      </c>
      <c r="C193" s="5" t="s">
        <v>39</v>
      </c>
      <c r="D193" s="7">
        <v>41</v>
      </c>
      <c r="E193" s="7">
        <v>49</v>
      </c>
      <c r="F193" s="7">
        <v>52</v>
      </c>
      <c r="G193" s="7">
        <v>56</v>
      </c>
      <c r="H193" s="7">
        <v>58</v>
      </c>
      <c r="J193" t="str">
        <f t="shared" si="18"/>
        <v>Luxembourg</v>
      </c>
      <c r="K193" t="s">
        <v>107</v>
      </c>
      <c r="L193" s="16">
        <f t="shared" si="19"/>
        <v>0.16015625</v>
      </c>
      <c r="M193" s="16">
        <f t="shared" si="20"/>
        <v>0.19140625</v>
      </c>
      <c r="N193" s="16">
        <f t="shared" si="21"/>
        <v>0.203125</v>
      </c>
      <c r="O193" s="16">
        <f t="shared" si="22"/>
        <v>0.21875</v>
      </c>
      <c r="P193" s="16">
        <f t="shared" si="23"/>
        <v>0.2265625</v>
      </c>
    </row>
    <row r="194" spans="1:16" x14ac:dyDescent="0.3">
      <c r="A194" s="5" t="s">
        <v>74</v>
      </c>
      <c r="B194" s="5" t="s">
        <v>40</v>
      </c>
      <c r="C194" s="5" t="s">
        <v>41</v>
      </c>
      <c r="D194" s="8">
        <v>401</v>
      </c>
      <c r="E194" s="8">
        <v>358</v>
      </c>
      <c r="F194" s="8">
        <v>350</v>
      </c>
      <c r="G194" s="8">
        <v>321</v>
      </c>
      <c r="H194" s="8">
        <v>351</v>
      </c>
      <c r="J194" t="str">
        <f t="shared" si="18"/>
        <v>Luxembourg</v>
      </c>
      <c r="K194" t="s">
        <v>108</v>
      </c>
      <c r="L194" s="16">
        <f t="shared" si="19"/>
        <v>0.22515440763615946</v>
      </c>
      <c r="M194" s="16">
        <f t="shared" si="20"/>
        <v>0.20101066816395283</v>
      </c>
      <c r="N194" s="16">
        <f t="shared" si="21"/>
        <v>0.1965188096574958</v>
      </c>
      <c r="O194" s="16">
        <f t="shared" si="22"/>
        <v>0.18023582257158899</v>
      </c>
      <c r="P194" s="16">
        <f t="shared" si="23"/>
        <v>0.19708029197080293</v>
      </c>
    </row>
    <row r="195" spans="1:16" x14ac:dyDescent="0.3">
      <c r="A195" s="5" t="s">
        <v>74</v>
      </c>
      <c r="B195" s="5" t="s">
        <v>42</v>
      </c>
      <c r="C195" s="5" t="s">
        <v>43</v>
      </c>
      <c r="D195" s="7">
        <v>38</v>
      </c>
      <c r="E195" s="7">
        <v>50</v>
      </c>
      <c r="F195" s="7">
        <v>63</v>
      </c>
      <c r="G195" s="7">
        <v>63</v>
      </c>
      <c r="H195" s="7">
        <v>75</v>
      </c>
      <c r="J195" t="str">
        <f t="shared" si="18"/>
        <v>Luxembourg</v>
      </c>
      <c r="K195" t="s">
        <v>109</v>
      </c>
      <c r="L195" s="16">
        <f t="shared" si="19"/>
        <v>0.13148788927335639</v>
      </c>
      <c r="M195" s="16">
        <f t="shared" si="20"/>
        <v>0.17301038062283736</v>
      </c>
      <c r="N195" s="16">
        <f t="shared" si="21"/>
        <v>0.2179930795847751</v>
      </c>
      <c r="O195" s="16">
        <f t="shared" si="22"/>
        <v>0.2179930795847751</v>
      </c>
      <c r="P195" s="16">
        <f t="shared" si="23"/>
        <v>0.25951557093425603</v>
      </c>
    </row>
    <row r="196" spans="1:16" x14ac:dyDescent="0.3">
      <c r="A196" s="5" t="s">
        <v>74</v>
      </c>
      <c r="B196" s="5" t="s">
        <v>44</v>
      </c>
      <c r="C196" s="5" t="s">
        <v>45</v>
      </c>
      <c r="D196" s="8">
        <v>27</v>
      </c>
      <c r="E196" s="8">
        <v>26</v>
      </c>
      <c r="F196" s="8">
        <v>25</v>
      </c>
      <c r="G196" s="8">
        <v>27</v>
      </c>
      <c r="H196" s="8">
        <v>20</v>
      </c>
      <c r="J196" t="str">
        <f t="shared" si="18"/>
        <v>Luxembourg</v>
      </c>
      <c r="K196" t="s">
        <v>110</v>
      </c>
      <c r="L196" s="16">
        <f t="shared" si="19"/>
        <v>0.216</v>
      </c>
      <c r="M196" s="16">
        <f t="shared" si="20"/>
        <v>0.20799999999999999</v>
      </c>
      <c r="N196" s="16">
        <f t="shared" si="21"/>
        <v>0.2</v>
      </c>
      <c r="O196" s="16">
        <f t="shared" si="22"/>
        <v>0.216</v>
      </c>
      <c r="P196" s="16">
        <f t="shared" si="23"/>
        <v>0.16</v>
      </c>
    </row>
    <row r="197" spans="1:16" x14ac:dyDescent="0.3">
      <c r="A197" s="5" t="s">
        <v>74</v>
      </c>
      <c r="B197" s="5" t="s">
        <v>46</v>
      </c>
      <c r="C197" s="5" t="s">
        <v>47</v>
      </c>
      <c r="D197" s="7">
        <v>125</v>
      </c>
      <c r="E197" s="7">
        <v>142</v>
      </c>
      <c r="F197" s="7">
        <v>138</v>
      </c>
      <c r="G197" s="7">
        <v>162</v>
      </c>
      <c r="H197" s="7">
        <v>132</v>
      </c>
      <c r="J197" t="str">
        <f t="shared" si="18"/>
        <v>Luxembourg</v>
      </c>
      <c r="K197" t="s">
        <v>111</v>
      </c>
      <c r="L197" s="16">
        <f t="shared" si="19"/>
        <v>0.17882689556509299</v>
      </c>
      <c r="M197" s="16">
        <f t="shared" si="20"/>
        <v>0.20314735336194564</v>
      </c>
      <c r="N197" s="16">
        <f t="shared" si="21"/>
        <v>0.19742489270386265</v>
      </c>
      <c r="O197" s="16">
        <f t="shared" si="22"/>
        <v>0.23175965665236051</v>
      </c>
      <c r="P197" s="16">
        <f t="shared" si="23"/>
        <v>0.18884120171673821</v>
      </c>
    </row>
    <row r="198" spans="1:16" x14ac:dyDescent="0.3">
      <c r="A198" s="5" t="s">
        <v>74</v>
      </c>
      <c r="B198" s="5" t="s">
        <v>48</v>
      </c>
      <c r="C198" s="5" t="s">
        <v>49</v>
      </c>
      <c r="D198" s="8">
        <v>32</v>
      </c>
      <c r="E198" s="8">
        <v>32</v>
      </c>
      <c r="F198" s="8">
        <v>28</v>
      </c>
      <c r="G198" s="8">
        <v>24</v>
      </c>
      <c r="H198" s="8">
        <v>19</v>
      </c>
      <c r="J198" t="str">
        <f t="shared" si="18"/>
        <v>Luxembourg</v>
      </c>
      <c r="K198" t="s">
        <v>112</v>
      </c>
      <c r="L198" s="16">
        <f t="shared" si="19"/>
        <v>0.23703703703703705</v>
      </c>
      <c r="M198" s="16">
        <f t="shared" si="20"/>
        <v>0.23703703703703705</v>
      </c>
      <c r="N198" s="16">
        <f t="shared" si="21"/>
        <v>0.2074074074074074</v>
      </c>
      <c r="O198" s="16">
        <f t="shared" si="22"/>
        <v>0.17777777777777778</v>
      </c>
      <c r="P198" s="16">
        <f t="shared" si="23"/>
        <v>0.14074074074074075</v>
      </c>
    </row>
    <row r="199" spans="1:16" x14ac:dyDescent="0.3">
      <c r="A199" s="5" t="s">
        <v>74</v>
      </c>
      <c r="B199" s="5" t="s">
        <v>50</v>
      </c>
      <c r="C199" s="5" t="s">
        <v>51</v>
      </c>
      <c r="D199" s="7">
        <v>53</v>
      </c>
      <c r="E199" s="7">
        <v>61</v>
      </c>
      <c r="F199" s="7">
        <v>67</v>
      </c>
      <c r="G199" s="7">
        <v>72</v>
      </c>
      <c r="H199" s="7">
        <v>76</v>
      </c>
      <c r="J199" t="str">
        <f t="shared" si="18"/>
        <v>Luxembourg</v>
      </c>
      <c r="K199" t="s">
        <v>113</v>
      </c>
      <c r="L199" s="16">
        <f t="shared" si="19"/>
        <v>0.16109422492401215</v>
      </c>
      <c r="M199" s="16">
        <f t="shared" si="20"/>
        <v>0.18541033434650456</v>
      </c>
      <c r="N199" s="16">
        <f t="shared" si="21"/>
        <v>0.20364741641337386</v>
      </c>
      <c r="O199" s="16">
        <f t="shared" si="22"/>
        <v>0.21884498480243161</v>
      </c>
      <c r="P199" s="16">
        <f t="shared" si="23"/>
        <v>0.23100303951367782</v>
      </c>
    </row>
    <row r="200" spans="1:16" x14ac:dyDescent="0.3">
      <c r="A200" s="5" t="s">
        <v>74</v>
      </c>
      <c r="B200" s="5" t="s">
        <v>52</v>
      </c>
      <c r="C200" s="5" t="s">
        <v>53</v>
      </c>
      <c r="D200" s="8">
        <v>8</v>
      </c>
      <c r="E200" s="8">
        <v>13</v>
      </c>
      <c r="F200" s="8">
        <v>5</v>
      </c>
      <c r="G200" s="8">
        <v>5</v>
      </c>
      <c r="H200" s="8">
        <v>9</v>
      </c>
      <c r="J200" t="str">
        <f t="shared" si="18"/>
        <v>Luxembourg</v>
      </c>
      <c r="K200" t="s">
        <v>114</v>
      </c>
      <c r="L200" s="16">
        <f t="shared" si="19"/>
        <v>0.2</v>
      </c>
      <c r="M200" s="16">
        <f t="shared" si="20"/>
        <v>0.32500000000000001</v>
      </c>
      <c r="N200" s="16">
        <f t="shared" si="21"/>
        <v>0.125</v>
      </c>
      <c r="O200" s="16">
        <f t="shared" si="22"/>
        <v>0.125</v>
      </c>
      <c r="P200" s="16">
        <f t="shared" si="23"/>
        <v>0.22500000000000001</v>
      </c>
    </row>
    <row r="201" spans="1:16" x14ac:dyDescent="0.3">
      <c r="A201" s="5" t="s">
        <v>74</v>
      </c>
      <c r="B201" s="5" t="s">
        <v>54</v>
      </c>
      <c r="C201" s="5" t="s">
        <v>55</v>
      </c>
      <c r="D201" s="7">
        <v>72</v>
      </c>
      <c r="E201" s="7">
        <v>78</v>
      </c>
      <c r="F201" s="7">
        <v>75</v>
      </c>
      <c r="G201" s="7">
        <v>81</v>
      </c>
      <c r="H201" s="7">
        <v>93</v>
      </c>
      <c r="J201" t="str">
        <f t="shared" si="18"/>
        <v>Luxembourg</v>
      </c>
      <c r="K201" t="s">
        <v>115</v>
      </c>
      <c r="L201" s="16">
        <f t="shared" si="19"/>
        <v>0.18045112781954886</v>
      </c>
      <c r="M201" s="16">
        <f t="shared" si="20"/>
        <v>0.19548872180451127</v>
      </c>
      <c r="N201" s="16">
        <f t="shared" si="21"/>
        <v>0.18796992481203006</v>
      </c>
      <c r="O201" s="16">
        <f t="shared" si="22"/>
        <v>0.20300751879699247</v>
      </c>
      <c r="P201" s="16">
        <f t="shared" si="23"/>
        <v>0.23308270676691728</v>
      </c>
    </row>
    <row r="202" spans="1:16" x14ac:dyDescent="0.3">
      <c r="A202" s="5" t="s">
        <v>74</v>
      </c>
      <c r="B202" s="5" t="s">
        <v>56</v>
      </c>
      <c r="C202" s="5" t="s">
        <v>57</v>
      </c>
      <c r="D202" s="8">
        <v>76</v>
      </c>
      <c r="E202" s="8">
        <v>83</v>
      </c>
      <c r="F202" s="8">
        <v>84</v>
      </c>
      <c r="G202" s="8">
        <v>89</v>
      </c>
      <c r="H202" s="8">
        <v>84</v>
      </c>
      <c r="J202" t="str">
        <f t="shared" si="18"/>
        <v>Luxembourg</v>
      </c>
      <c r="K202" t="s">
        <v>116</v>
      </c>
      <c r="L202" s="16">
        <f t="shared" si="19"/>
        <v>0.18269230769230768</v>
      </c>
      <c r="M202" s="16">
        <f t="shared" si="20"/>
        <v>0.19951923076923078</v>
      </c>
      <c r="N202" s="16">
        <f t="shared" si="21"/>
        <v>0.20192307692307693</v>
      </c>
      <c r="O202" s="16">
        <f t="shared" si="22"/>
        <v>0.21394230769230768</v>
      </c>
      <c r="P202" s="16">
        <f t="shared" si="23"/>
        <v>0.20192307692307693</v>
      </c>
    </row>
    <row r="203" spans="1:16" x14ac:dyDescent="0.3">
      <c r="A203" s="5" t="s">
        <v>75</v>
      </c>
      <c r="B203" s="5" t="s">
        <v>34</v>
      </c>
      <c r="C203" s="5" t="s">
        <v>35</v>
      </c>
      <c r="D203" s="7">
        <v>226</v>
      </c>
      <c r="E203" s="7">
        <v>222</v>
      </c>
      <c r="F203" s="7">
        <v>215</v>
      </c>
      <c r="G203" s="7">
        <v>197</v>
      </c>
      <c r="H203" s="7">
        <v>173</v>
      </c>
      <c r="J203" t="str">
        <f t="shared" si="18"/>
        <v>Hungary</v>
      </c>
      <c r="K203" t="s">
        <v>105</v>
      </c>
      <c r="L203" s="16">
        <f t="shared" si="19"/>
        <v>0.21878025169409487</v>
      </c>
      <c r="M203" s="16">
        <f t="shared" si="20"/>
        <v>0.21490803484995161</v>
      </c>
      <c r="N203" s="16">
        <f t="shared" si="21"/>
        <v>0.20813165537270087</v>
      </c>
      <c r="O203" s="16">
        <f t="shared" si="22"/>
        <v>0.19070667957405615</v>
      </c>
      <c r="P203" s="16">
        <f t="shared" si="23"/>
        <v>0.16747337850919652</v>
      </c>
    </row>
    <row r="204" spans="1:16" x14ac:dyDescent="0.3">
      <c r="A204" s="5" t="s">
        <v>75</v>
      </c>
      <c r="B204" s="5" t="s">
        <v>36</v>
      </c>
      <c r="C204" s="5" t="s">
        <v>37</v>
      </c>
      <c r="D204" s="8">
        <v>40</v>
      </c>
      <c r="E204" s="8">
        <v>30</v>
      </c>
      <c r="F204" s="8">
        <v>27</v>
      </c>
      <c r="G204" s="8">
        <v>26</v>
      </c>
      <c r="H204" s="8">
        <v>22</v>
      </c>
      <c r="J204" t="str">
        <f t="shared" ref="J204:J267" si="24">A204</f>
        <v>Hungary</v>
      </c>
      <c r="K204" t="s">
        <v>106</v>
      </c>
      <c r="L204" s="16">
        <f t="shared" si="19"/>
        <v>0.27586206896551724</v>
      </c>
      <c r="M204" s="16">
        <f t="shared" si="20"/>
        <v>0.20689655172413793</v>
      </c>
      <c r="N204" s="16">
        <f t="shared" si="21"/>
        <v>0.18620689655172415</v>
      </c>
      <c r="O204" s="16">
        <f t="shared" si="22"/>
        <v>0.1793103448275862</v>
      </c>
      <c r="P204" s="16">
        <f t="shared" si="23"/>
        <v>0.15172413793103448</v>
      </c>
    </row>
    <row r="205" spans="1:16" x14ac:dyDescent="0.3">
      <c r="A205" s="5" t="s">
        <v>75</v>
      </c>
      <c r="B205" s="5" t="s">
        <v>38</v>
      </c>
      <c r="C205" s="5" t="s">
        <v>39</v>
      </c>
      <c r="D205" s="7">
        <v>18</v>
      </c>
      <c r="E205" s="7">
        <v>23</v>
      </c>
      <c r="F205" s="7">
        <v>27</v>
      </c>
      <c r="G205" s="7">
        <v>35</v>
      </c>
      <c r="H205" s="7">
        <v>45</v>
      </c>
      <c r="J205" t="str">
        <f t="shared" si="24"/>
        <v>Hungary</v>
      </c>
      <c r="K205" t="s">
        <v>107</v>
      </c>
      <c r="L205" s="16">
        <f t="shared" si="19"/>
        <v>0.12162162162162163</v>
      </c>
      <c r="M205" s="16">
        <f t="shared" si="20"/>
        <v>0.1554054054054054</v>
      </c>
      <c r="N205" s="16">
        <f t="shared" si="21"/>
        <v>0.18243243243243243</v>
      </c>
      <c r="O205" s="16">
        <f t="shared" si="22"/>
        <v>0.23648648648648649</v>
      </c>
      <c r="P205" s="16">
        <f t="shared" si="23"/>
        <v>0.30405405405405406</v>
      </c>
    </row>
    <row r="206" spans="1:16" x14ac:dyDescent="0.3">
      <c r="A206" s="5" t="s">
        <v>75</v>
      </c>
      <c r="B206" s="5" t="s">
        <v>40</v>
      </c>
      <c r="C206" s="5" t="s">
        <v>41</v>
      </c>
      <c r="D206" s="8">
        <v>461</v>
      </c>
      <c r="E206" s="8">
        <v>435</v>
      </c>
      <c r="F206" s="8">
        <v>398</v>
      </c>
      <c r="G206" s="8">
        <v>355</v>
      </c>
      <c r="H206" s="8">
        <v>310</v>
      </c>
      <c r="J206" t="str">
        <f t="shared" si="24"/>
        <v>Hungary</v>
      </c>
      <c r="K206" t="s">
        <v>108</v>
      </c>
      <c r="L206" s="16">
        <f t="shared" si="19"/>
        <v>0.23532414497192444</v>
      </c>
      <c r="M206" s="16">
        <f t="shared" si="20"/>
        <v>0.222052067381317</v>
      </c>
      <c r="N206" s="16">
        <f t="shared" si="21"/>
        <v>0.20316488004083716</v>
      </c>
      <c r="O206" s="16">
        <f t="shared" si="22"/>
        <v>0.18121490556406331</v>
      </c>
      <c r="P206" s="16">
        <f t="shared" si="23"/>
        <v>0.1582440020418581</v>
      </c>
    </row>
    <row r="207" spans="1:16" x14ac:dyDescent="0.3">
      <c r="A207" s="5" t="s">
        <v>75</v>
      </c>
      <c r="B207" s="5" t="s">
        <v>42</v>
      </c>
      <c r="C207" s="5" t="s">
        <v>43</v>
      </c>
      <c r="D207" s="7">
        <v>25</v>
      </c>
      <c r="E207" s="7">
        <v>32</v>
      </c>
      <c r="F207" s="7">
        <v>30</v>
      </c>
      <c r="G207" s="7">
        <v>34</v>
      </c>
      <c r="H207" s="7">
        <v>35</v>
      </c>
      <c r="J207" t="str">
        <f t="shared" si="24"/>
        <v>Hungary</v>
      </c>
      <c r="K207" t="s">
        <v>109</v>
      </c>
      <c r="L207" s="16">
        <f t="shared" si="19"/>
        <v>0.16025641025641027</v>
      </c>
      <c r="M207" s="16">
        <f t="shared" si="20"/>
        <v>0.20512820512820512</v>
      </c>
      <c r="N207" s="16">
        <f t="shared" si="21"/>
        <v>0.19230769230769232</v>
      </c>
      <c r="O207" s="16">
        <f t="shared" si="22"/>
        <v>0.21794871794871795</v>
      </c>
      <c r="P207" s="16">
        <f t="shared" si="23"/>
        <v>0.22435897435897437</v>
      </c>
    </row>
    <row r="208" spans="1:16" x14ac:dyDescent="0.3">
      <c r="A208" s="5" t="s">
        <v>75</v>
      </c>
      <c r="B208" s="5" t="s">
        <v>44</v>
      </c>
      <c r="C208" s="5" t="s">
        <v>45</v>
      </c>
      <c r="D208" s="8">
        <v>46</v>
      </c>
      <c r="E208" s="8">
        <v>48</v>
      </c>
      <c r="F208" s="8">
        <v>40</v>
      </c>
      <c r="G208" s="8">
        <v>41</v>
      </c>
      <c r="H208" s="8">
        <v>37</v>
      </c>
      <c r="J208" t="str">
        <f t="shared" si="24"/>
        <v>Hungary</v>
      </c>
      <c r="K208" t="s">
        <v>110</v>
      </c>
      <c r="L208" s="16">
        <f t="shared" si="19"/>
        <v>0.21698113207547171</v>
      </c>
      <c r="M208" s="16">
        <f t="shared" si="20"/>
        <v>0.22641509433962265</v>
      </c>
      <c r="N208" s="16">
        <f t="shared" si="21"/>
        <v>0.18867924528301888</v>
      </c>
      <c r="O208" s="16">
        <f t="shared" si="22"/>
        <v>0.19339622641509435</v>
      </c>
      <c r="P208" s="16">
        <f t="shared" si="23"/>
        <v>0.17452830188679244</v>
      </c>
    </row>
    <row r="209" spans="1:16" x14ac:dyDescent="0.3">
      <c r="A209" s="5" t="s">
        <v>75</v>
      </c>
      <c r="B209" s="5" t="s">
        <v>46</v>
      </c>
      <c r="C209" s="5" t="s">
        <v>47</v>
      </c>
      <c r="D209" s="7">
        <v>39</v>
      </c>
      <c r="E209" s="7">
        <v>44</v>
      </c>
      <c r="F209" s="7">
        <v>70</v>
      </c>
      <c r="G209" s="7">
        <v>97</v>
      </c>
      <c r="H209" s="7">
        <v>132</v>
      </c>
      <c r="J209" t="str">
        <f t="shared" si="24"/>
        <v>Hungary</v>
      </c>
      <c r="K209" t="s">
        <v>111</v>
      </c>
      <c r="L209" s="16">
        <f t="shared" si="19"/>
        <v>0.10209424083769633</v>
      </c>
      <c r="M209" s="16">
        <f t="shared" si="20"/>
        <v>0.11518324607329843</v>
      </c>
      <c r="N209" s="16">
        <f t="shared" si="21"/>
        <v>0.18324607329842932</v>
      </c>
      <c r="O209" s="16">
        <f t="shared" si="22"/>
        <v>0.25392670157068065</v>
      </c>
      <c r="P209" s="16">
        <f t="shared" si="23"/>
        <v>0.34554973821989526</v>
      </c>
    </row>
    <row r="210" spans="1:16" x14ac:dyDescent="0.3">
      <c r="A210" s="5" t="s">
        <v>75</v>
      </c>
      <c r="B210" s="5" t="s">
        <v>48</v>
      </c>
      <c r="C210" s="5" t="s">
        <v>49</v>
      </c>
      <c r="D210" s="8">
        <v>48</v>
      </c>
      <c r="E210" s="8">
        <v>54</v>
      </c>
      <c r="F210" s="8">
        <v>60</v>
      </c>
      <c r="G210" s="8">
        <v>64</v>
      </c>
      <c r="H210" s="8">
        <v>58</v>
      </c>
      <c r="J210" t="str">
        <f t="shared" si="24"/>
        <v>Hungary</v>
      </c>
      <c r="K210" t="s">
        <v>112</v>
      </c>
      <c r="L210" s="16">
        <f t="shared" ref="L210:L273" si="25">D210/(SUM($D210:$H210))</f>
        <v>0.16901408450704225</v>
      </c>
      <c r="M210" s="16">
        <f t="shared" ref="M210:M273" si="26">E210/(SUM($D210:$H210))</f>
        <v>0.19014084507042253</v>
      </c>
      <c r="N210" s="16">
        <f t="shared" ref="N210:N273" si="27">F210/(SUM($D210:$H210))</f>
        <v>0.21126760563380281</v>
      </c>
      <c r="O210" s="16">
        <f t="shared" ref="O210:O273" si="28">G210/(SUM($D210:$H210))</f>
        <v>0.22535211267605634</v>
      </c>
      <c r="P210" s="16">
        <f t="shared" ref="P210:P273" si="29">H210/(SUM($D210:$H210))</f>
        <v>0.20422535211267606</v>
      </c>
    </row>
    <row r="211" spans="1:16" x14ac:dyDescent="0.3">
      <c r="A211" s="5" t="s">
        <v>75</v>
      </c>
      <c r="B211" s="5" t="s">
        <v>50</v>
      </c>
      <c r="C211" s="5" t="s">
        <v>51</v>
      </c>
      <c r="D211" s="7">
        <v>32</v>
      </c>
      <c r="E211" s="7">
        <v>36</v>
      </c>
      <c r="F211" s="7">
        <v>45</v>
      </c>
      <c r="G211" s="7">
        <v>54</v>
      </c>
      <c r="H211" s="7">
        <v>71</v>
      </c>
      <c r="J211" t="str">
        <f t="shared" si="24"/>
        <v>Hungary</v>
      </c>
      <c r="K211" t="s">
        <v>113</v>
      </c>
      <c r="L211" s="16">
        <f t="shared" si="25"/>
        <v>0.13445378151260504</v>
      </c>
      <c r="M211" s="16">
        <f t="shared" si="26"/>
        <v>0.15126050420168066</v>
      </c>
      <c r="N211" s="16">
        <f t="shared" si="27"/>
        <v>0.18907563025210083</v>
      </c>
      <c r="O211" s="16">
        <f t="shared" si="28"/>
        <v>0.22689075630252101</v>
      </c>
      <c r="P211" s="16">
        <f t="shared" si="29"/>
        <v>0.29831932773109243</v>
      </c>
    </row>
    <row r="212" spans="1:16" x14ac:dyDescent="0.3">
      <c r="A212" s="5" t="s">
        <v>75</v>
      </c>
      <c r="B212" s="5" t="s">
        <v>52</v>
      </c>
      <c r="C212" s="5" t="s">
        <v>53</v>
      </c>
      <c r="D212" s="8">
        <v>4</v>
      </c>
      <c r="E212" s="8">
        <v>5</v>
      </c>
      <c r="F212" s="8">
        <v>6</v>
      </c>
      <c r="G212" s="8">
        <v>7</v>
      </c>
      <c r="H212" s="8">
        <v>10</v>
      </c>
      <c r="J212" t="str">
        <f t="shared" si="24"/>
        <v>Hungary</v>
      </c>
      <c r="K212" t="s">
        <v>114</v>
      </c>
      <c r="L212" s="16">
        <f t="shared" si="25"/>
        <v>0.125</v>
      </c>
      <c r="M212" s="16">
        <f t="shared" si="26"/>
        <v>0.15625</v>
      </c>
      <c r="N212" s="16">
        <f t="shared" si="27"/>
        <v>0.1875</v>
      </c>
      <c r="O212" s="16">
        <f t="shared" si="28"/>
        <v>0.21875</v>
      </c>
      <c r="P212" s="16">
        <f t="shared" si="29"/>
        <v>0.3125</v>
      </c>
    </row>
    <row r="213" spans="1:16" x14ac:dyDescent="0.3">
      <c r="A213" s="5" t="s">
        <v>75</v>
      </c>
      <c r="B213" s="5" t="s">
        <v>54</v>
      </c>
      <c r="C213" s="5" t="s">
        <v>55</v>
      </c>
      <c r="D213" s="7">
        <v>13</v>
      </c>
      <c r="E213" s="7">
        <v>20</v>
      </c>
      <c r="F213" s="7">
        <v>25</v>
      </c>
      <c r="G213" s="7">
        <v>30</v>
      </c>
      <c r="H213" s="7">
        <v>41</v>
      </c>
      <c r="J213" t="str">
        <f t="shared" si="24"/>
        <v>Hungary</v>
      </c>
      <c r="K213" t="s">
        <v>115</v>
      </c>
      <c r="L213" s="16">
        <f t="shared" si="25"/>
        <v>0.10077519379844961</v>
      </c>
      <c r="M213" s="16">
        <f t="shared" si="26"/>
        <v>0.15503875968992248</v>
      </c>
      <c r="N213" s="16">
        <f t="shared" si="27"/>
        <v>0.19379844961240311</v>
      </c>
      <c r="O213" s="16">
        <f t="shared" si="28"/>
        <v>0.23255813953488372</v>
      </c>
      <c r="P213" s="16">
        <f t="shared" si="29"/>
        <v>0.31782945736434109</v>
      </c>
    </row>
    <row r="214" spans="1:16" x14ac:dyDescent="0.3">
      <c r="A214" s="5" t="s">
        <v>75</v>
      </c>
      <c r="B214" s="5" t="s">
        <v>56</v>
      </c>
      <c r="C214" s="5" t="s">
        <v>57</v>
      </c>
      <c r="D214" s="8">
        <v>48</v>
      </c>
      <c r="E214" s="8">
        <v>51</v>
      </c>
      <c r="F214" s="8">
        <v>56</v>
      </c>
      <c r="G214" s="8">
        <v>61</v>
      </c>
      <c r="H214" s="8">
        <v>65</v>
      </c>
      <c r="J214" t="str">
        <f t="shared" si="24"/>
        <v>Hungary</v>
      </c>
      <c r="K214" t="s">
        <v>116</v>
      </c>
      <c r="L214" s="16">
        <f t="shared" si="25"/>
        <v>0.1708185053380783</v>
      </c>
      <c r="M214" s="16">
        <f t="shared" si="26"/>
        <v>0.18149466192170818</v>
      </c>
      <c r="N214" s="16">
        <f t="shared" si="27"/>
        <v>0.199288256227758</v>
      </c>
      <c r="O214" s="16">
        <f t="shared" si="28"/>
        <v>0.21708185053380782</v>
      </c>
      <c r="P214" s="16">
        <f t="shared" si="29"/>
        <v>0.23131672597864769</v>
      </c>
    </row>
    <row r="215" spans="1:16" x14ac:dyDescent="0.3">
      <c r="A215" s="5" t="s">
        <v>76</v>
      </c>
      <c r="B215" s="5" t="s">
        <v>34</v>
      </c>
      <c r="C215" s="5" t="s">
        <v>35</v>
      </c>
      <c r="D215" s="7">
        <v>256</v>
      </c>
      <c r="E215" s="7">
        <v>251</v>
      </c>
      <c r="F215" s="7">
        <v>207</v>
      </c>
      <c r="G215" s="7">
        <v>186</v>
      </c>
      <c r="H215" s="7">
        <v>161</v>
      </c>
      <c r="J215" t="str">
        <f t="shared" si="24"/>
        <v>Malta</v>
      </c>
      <c r="K215" t="s">
        <v>105</v>
      </c>
      <c r="L215" s="16">
        <f t="shared" si="25"/>
        <v>0.2412818096135721</v>
      </c>
      <c r="M215" s="16">
        <f t="shared" si="26"/>
        <v>0.23656927426955701</v>
      </c>
      <c r="N215" s="16">
        <f t="shared" si="27"/>
        <v>0.19509896324222431</v>
      </c>
      <c r="O215" s="16">
        <f t="shared" si="28"/>
        <v>0.17530631479736097</v>
      </c>
      <c r="P215" s="16">
        <f t="shared" si="29"/>
        <v>0.15174363807728558</v>
      </c>
    </row>
    <row r="216" spans="1:16" x14ac:dyDescent="0.3">
      <c r="A216" s="5" t="s">
        <v>76</v>
      </c>
      <c r="B216" s="5" t="s">
        <v>36</v>
      </c>
      <c r="C216" s="5" t="s">
        <v>37</v>
      </c>
      <c r="D216" s="8">
        <v>31</v>
      </c>
      <c r="E216" s="8">
        <v>28</v>
      </c>
      <c r="F216" s="8">
        <v>27</v>
      </c>
      <c r="G216" s="8">
        <v>21</v>
      </c>
      <c r="H216" s="8">
        <v>20</v>
      </c>
      <c r="J216" t="str">
        <f t="shared" si="24"/>
        <v>Malta</v>
      </c>
      <c r="K216" t="s">
        <v>106</v>
      </c>
      <c r="L216" s="16">
        <f t="shared" si="25"/>
        <v>0.24409448818897639</v>
      </c>
      <c r="M216" s="16">
        <f t="shared" si="26"/>
        <v>0.22047244094488189</v>
      </c>
      <c r="N216" s="16">
        <f t="shared" si="27"/>
        <v>0.2125984251968504</v>
      </c>
      <c r="O216" s="16">
        <f t="shared" si="28"/>
        <v>0.16535433070866143</v>
      </c>
      <c r="P216" s="16">
        <f t="shared" si="29"/>
        <v>0.15748031496062992</v>
      </c>
    </row>
    <row r="217" spans="1:16" x14ac:dyDescent="0.3">
      <c r="A217" s="5" t="s">
        <v>76</v>
      </c>
      <c r="B217" s="5" t="s">
        <v>38</v>
      </c>
      <c r="C217" s="5" t="s">
        <v>39</v>
      </c>
      <c r="D217" s="7">
        <v>56</v>
      </c>
      <c r="E217" s="7">
        <v>57</v>
      </c>
      <c r="F217" s="7">
        <v>83</v>
      </c>
      <c r="G217" s="7">
        <v>87</v>
      </c>
      <c r="H217" s="7">
        <v>87</v>
      </c>
      <c r="J217" t="str">
        <f t="shared" si="24"/>
        <v>Malta</v>
      </c>
      <c r="K217" t="s">
        <v>107</v>
      </c>
      <c r="L217" s="16">
        <f t="shared" si="25"/>
        <v>0.15135135135135136</v>
      </c>
      <c r="M217" s="16">
        <f t="shared" si="26"/>
        <v>0.15405405405405406</v>
      </c>
      <c r="N217" s="16">
        <f t="shared" si="27"/>
        <v>0.22432432432432434</v>
      </c>
      <c r="O217" s="16">
        <f t="shared" si="28"/>
        <v>0.23513513513513515</v>
      </c>
      <c r="P217" s="16">
        <f t="shared" si="29"/>
        <v>0.23513513513513515</v>
      </c>
    </row>
    <row r="218" spans="1:16" x14ac:dyDescent="0.3">
      <c r="A218" s="5" t="s">
        <v>76</v>
      </c>
      <c r="B218" s="5" t="s">
        <v>40</v>
      </c>
      <c r="C218" s="5" t="s">
        <v>41</v>
      </c>
      <c r="D218" s="8">
        <v>162</v>
      </c>
      <c r="E218" s="8">
        <v>109</v>
      </c>
      <c r="F218" s="8">
        <v>81</v>
      </c>
      <c r="G218" s="8">
        <v>66</v>
      </c>
      <c r="H218" s="8">
        <v>63</v>
      </c>
      <c r="J218" t="str">
        <f t="shared" si="24"/>
        <v>Malta</v>
      </c>
      <c r="K218" t="s">
        <v>108</v>
      </c>
      <c r="L218" s="16">
        <f t="shared" si="25"/>
        <v>0.33679833679833682</v>
      </c>
      <c r="M218" s="16">
        <f t="shared" si="26"/>
        <v>0.22661122661122662</v>
      </c>
      <c r="N218" s="16">
        <f t="shared" si="27"/>
        <v>0.16839916839916841</v>
      </c>
      <c r="O218" s="16">
        <f t="shared" si="28"/>
        <v>0.13721413721413722</v>
      </c>
      <c r="P218" s="16">
        <f t="shared" si="29"/>
        <v>0.13097713097713098</v>
      </c>
    </row>
    <row r="219" spans="1:16" x14ac:dyDescent="0.3">
      <c r="A219" s="5" t="s">
        <v>76</v>
      </c>
      <c r="B219" s="5" t="s">
        <v>42</v>
      </c>
      <c r="C219" s="5" t="s">
        <v>43</v>
      </c>
      <c r="D219" s="7">
        <v>69</v>
      </c>
      <c r="E219" s="7">
        <v>70</v>
      </c>
      <c r="F219" s="7">
        <v>72</v>
      </c>
      <c r="G219" s="7">
        <v>72</v>
      </c>
      <c r="H219" s="7">
        <v>80</v>
      </c>
      <c r="J219" t="str">
        <f t="shared" si="24"/>
        <v>Malta</v>
      </c>
      <c r="K219" t="s">
        <v>109</v>
      </c>
      <c r="L219" s="16">
        <f t="shared" si="25"/>
        <v>0.19008264462809918</v>
      </c>
      <c r="M219" s="16">
        <f t="shared" si="26"/>
        <v>0.1928374655647383</v>
      </c>
      <c r="N219" s="16">
        <f t="shared" si="27"/>
        <v>0.19834710743801653</v>
      </c>
      <c r="O219" s="16">
        <f t="shared" si="28"/>
        <v>0.19834710743801653</v>
      </c>
      <c r="P219" s="16">
        <f t="shared" si="29"/>
        <v>0.22038567493112948</v>
      </c>
    </row>
    <row r="220" spans="1:16" x14ac:dyDescent="0.3">
      <c r="A220" s="5" t="s">
        <v>76</v>
      </c>
      <c r="B220" s="5" t="s">
        <v>44</v>
      </c>
      <c r="C220" s="5" t="s">
        <v>45</v>
      </c>
      <c r="D220" s="8">
        <v>67</v>
      </c>
      <c r="E220" s="8">
        <v>72</v>
      </c>
      <c r="F220" s="8">
        <v>59</v>
      </c>
      <c r="G220" s="8">
        <v>56</v>
      </c>
      <c r="H220" s="8">
        <v>44</v>
      </c>
      <c r="J220" t="str">
        <f t="shared" si="24"/>
        <v>Malta</v>
      </c>
      <c r="K220" t="s">
        <v>110</v>
      </c>
      <c r="L220" s="16">
        <f t="shared" si="25"/>
        <v>0.22483221476510068</v>
      </c>
      <c r="M220" s="16">
        <f t="shared" si="26"/>
        <v>0.24161073825503357</v>
      </c>
      <c r="N220" s="16">
        <f t="shared" si="27"/>
        <v>0.19798657718120805</v>
      </c>
      <c r="O220" s="16">
        <f t="shared" si="28"/>
        <v>0.18791946308724833</v>
      </c>
      <c r="P220" s="16">
        <f t="shared" si="29"/>
        <v>0.1476510067114094</v>
      </c>
    </row>
    <row r="221" spans="1:16" x14ac:dyDescent="0.3">
      <c r="A221" s="5" t="s">
        <v>76</v>
      </c>
      <c r="B221" s="5" t="s">
        <v>46</v>
      </c>
      <c r="C221" s="5" t="s">
        <v>47</v>
      </c>
      <c r="D221" s="7">
        <v>91</v>
      </c>
      <c r="E221" s="7">
        <v>106</v>
      </c>
      <c r="F221" s="7">
        <v>137</v>
      </c>
      <c r="G221" s="7">
        <v>143</v>
      </c>
      <c r="H221" s="7">
        <v>176</v>
      </c>
      <c r="J221" t="str">
        <f t="shared" si="24"/>
        <v>Malta</v>
      </c>
      <c r="K221" t="s">
        <v>111</v>
      </c>
      <c r="L221" s="16">
        <f t="shared" si="25"/>
        <v>0.13935681470137826</v>
      </c>
      <c r="M221" s="16">
        <f t="shared" si="26"/>
        <v>0.16232771822358347</v>
      </c>
      <c r="N221" s="16">
        <f t="shared" si="27"/>
        <v>0.20980091883614088</v>
      </c>
      <c r="O221" s="16">
        <f t="shared" si="28"/>
        <v>0.21898928024502298</v>
      </c>
      <c r="P221" s="16">
        <f t="shared" si="29"/>
        <v>0.26952526799387444</v>
      </c>
    </row>
    <row r="222" spans="1:16" x14ac:dyDescent="0.3">
      <c r="A222" s="5" t="s">
        <v>76</v>
      </c>
      <c r="B222" s="5" t="s">
        <v>48</v>
      </c>
      <c r="C222" s="5" t="s">
        <v>49</v>
      </c>
      <c r="D222" s="8">
        <v>47</v>
      </c>
      <c r="E222" s="8">
        <v>51</v>
      </c>
      <c r="F222" s="8">
        <v>45</v>
      </c>
      <c r="G222" s="8">
        <v>42</v>
      </c>
      <c r="H222" s="8">
        <v>39</v>
      </c>
      <c r="J222" t="str">
        <f t="shared" si="24"/>
        <v>Malta</v>
      </c>
      <c r="K222" t="s">
        <v>112</v>
      </c>
      <c r="L222" s="16">
        <f t="shared" si="25"/>
        <v>0.20982142857142858</v>
      </c>
      <c r="M222" s="16">
        <f t="shared" si="26"/>
        <v>0.22767857142857142</v>
      </c>
      <c r="N222" s="16">
        <f t="shared" si="27"/>
        <v>0.20089285714285715</v>
      </c>
      <c r="O222" s="16">
        <f t="shared" si="28"/>
        <v>0.1875</v>
      </c>
      <c r="P222" s="16">
        <f t="shared" si="29"/>
        <v>0.17410714285714285</v>
      </c>
    </row>
    <row r="223" spans="1:16" x14ac:dyDescent="0.3">
      <c r="A223" s="5" t="s">
        <v>76</v>
      </c>
      <c r="B223" s="5" t="s">
        <v>50</v>
      </c>
      <c r="C223" s="5" t="s">
        <v>51</v>
      </c>
      <c r="D223" s="7">
        <v>58</v>
      </c>
      <c r="E223" s="7">
        <v>68</v>
      </c>
      <c r="F223" s="7">
        <v>79</v>
      </c>
      <c r="G223" s="7">
        <v>102</v>
      </c>
      <c r="H223" s="7">
        <v>78</v>
      </c>
      <c r="J223" t="str">
        <f t="shared" si="24"/>
        <v>Malta</v>
      </c>
      <c r="K223" t="s">
        <v>113</v>
      </c>
      <c r="L223" s="16">
        <f t="shared" si="25"/>
        <v>0.15064935064935064</v>
      </c>
      <c r="M223" s="16">
        <f t="shared" si="26"/>
        <v>0.17662337662337663</v>
      </c>
      <c r="N223" s="16">
        <f t="shared" si="27"/>
        <v>0.20519480519480521</v>
      </c>
      <c r="O223" s="16">
        <f t="shared" si="28"/>
        <v>0.26493506493506491</v>
      </c>
      <c r="P223" s="16">
        <f t="shared" si="29"/>
        <v>0.20259740259740261</v>
      </c>
    </row>
    <row r="224" spans="1:16" x14ac:dyDescent="0.3">
      <c r="A224" s="5" t="s">
        <v>76</v>
      </c>
      <c r="B224" s="5" t="s">
        <v>52</v>
      </c>
      <c r="C224" s="5" t="s">
        <v>53</v>
      </c>
      <c r="D224" s="8">
        <v>9</v>
      </c>
      <c r="E224" s="8">
        <v>21</v>
      </c>
      <c r="F224" s="8">
        <v>23</v>
      </c>
      <c r="G224" s="8">
        <v>33</v>
      </c>
      <c r="H224" s="8">
        <v>36</v>
      </c>
      <c r="J224" t="str">
        <f t="shared" si="24"/>
        <v>Malta</v>
      </c>
      <c r="K224" t="s">
        <v>114</v>
      </c>
      <c r="L224" s="16">
        <f t="shared" si="25"/>
        <v>7.3770491803278687E-2</v>
      </c>
      <c r="M224" s="16">
        <f t="shared" si="26"/>
        <v>0.1721311475409836</v>
      </c>
      <c r="N224" s="16">
        <f t="shared" si="27"/>
        <v>0.18852459016393441</v>
      </c>
      <c r="O224" s="16">
        <f t="shared" si="28"/>
        <v>0.27049180327868855</v>
      </c>
      <c r="P224" s="16">
        <f t="shared" si="29"/>
        <v>0.29508196721311475</v>
      </c>
    </row>
    <row r="225" spans="1:16" x14ac:dyDescent="0.3">
      <c r="A225" s="5" t="s">
        <v>76</v>
      </c>
      <c r="B225" s="5" t="s">
        <v>54</v>
      </c>
      <c r="C225" s="5" t="s">
        <v>55</v>
      </c>
      <c r="D225" s="7">
        <v>69</v>
      </c>
      <c r="E225" s="7">
        <v>75</v>
      </c>
      <c r="F225" s="7">
        <v>85</v>
      </c>
      <c r="G225" s="7">
        <v>84</v>
      </c>
      <c r="H225" s="7">
        <v>89</v>
      </c>
      <c r="J225" t="str">
        <f t="shared" si="24"/>
        <v>Malta</v>
      </c>
      <c r="K225" t="s">
        <v>115</v>
      </c>
      <c r="L225" s="16">
        <f t="shared" si="25"/>
        <v>0.17164179104477612</v>
      </c>
      <c r="M225" s="16">
        <f t="shared" si="26"/>
        <v>0.18656716417910449</v>
      </c>
      <c r="N225" s="16">
        <f t="shared" si="27"/>
        <v>0.21144278606965175</v>
      </c>
      <c r="O225" s="16">
        <f t="shared" si="28"/>
        <v>0.20895522388059701</v>
      </c>
      <c r="P225" s="16">
        <f t="shared" si="29"/>
        <v>0.22139303482587064</v>
      </c>
    </row>
    <row r="226" spans="1:16" x14ac:dyDescent="0.3">
      <c r="A226" s="5" t="s">
        <v>76</v>
      </c>
      <c r="B226" s="5" t="s">
        <v>56</v>
      </c>
      <c r="C226" s="5" t="s">
        <v>57</v>
      </c>
      <c r="D226" s="8">
        <v>85</v>
      </c>
      <c r="E226" s="8">
        <v>90</v>
      </c>
      <c r="F226" s="8">
        <v>104</v>
      </c>
      <c r="G226" s="8">
        <v>109</v>
      </c>
      <c r="H226" s="8">
        <v>126</v>
      </c>
      <c r="J226" t="str">
        <f t="shared" si="24"/>
        <v>Malta</v>
      </c>
      <c r="K226" t="s">
        <v>116</v>
      </c>
      <c r="L226" s="16">
        <f t="shared" si="25"/>
        <v>0.16536964980544747</v>
      </c>
      <c r="M226" s="16">
        <f t="shared" si="26"/>
        <v>0.17509727626459143</v>
      </c>
      <c r="N226" s="16">
        <f t="shared" si="27"/>
        <v>0.20233463035019456</v>
      </c>
      <c r="O226" s="16">
        <f t="shared" si="28"/>
        <v>0.21206225680933852</v>
      </c>
      <c r="P226" s="16">
        <f t="shared" si="29"/>
        <v>0.24513618677042801</v>
      </c>
    </row>
    <row r="227" spans="1:16" x14ac:dyDescent="0.3">
      <c r="A227" s="5" t="s">
        <v>77</v>
      </c>
      <c r="B227" s="5" t="s">
        <v>34</v>
      </c>
      <c r="C227" s="5" t="s">
        <v>35</v>
      </c>
      <c r="D227" s="7">
        <v>105</v>
      </c>
      <c r="E227" s="7">
        <v>111</v>
      </c>
      <c r="F227" s="7">
        <v>108</v>
      </c>
      <c r="G227" s="7">
        <v>108</v>
      </c>
      <c r="H227" s="7">
        <v>102</v>
      </c>
      <c r="J227" t="str">
        <f t="shared" si="24"/>
        <v>Netherlands</v>
      </c>
      <c r="K227" t="s">
        <v>105</v>
      </c>
      <c r="L227" s="16">
        <f t="shared" si="25"/>
        <v>0.19662921348314608</v>
      </c>
      <c r="M227" s="16">
        <f t="shared" si="26"/>
        <v>0.20786516853932585</v>
      </c>
      <c r="N227" s="16">
        <f t="shared" si="27"/>
        <v>0.20224719101123595</v>
      </c>
      <c r="O227" s="16">
        <f t="shared" si="28"/>
        <v>0.20224719101123595</v>
      </c>
      <c r="P227" s="16">
        <f t="shared" si="29"/>
        <v>0.19101123595505617</v>
      </c>
    </row>
    <row r="228" spans="1:16" x14ac:dyDescent="0.3">
      <c r="A228" s="5" t="s">
        <v>77</v>
      </c>
      <c r="B228" s="5" t="s">
        <v>36</v>
      </c>
      <c r="C228" s="5" t="s">
        <v>37</v>
      </c>
      <c r="D228" s="8">
        <v>41</v>
      </c>
      <c r="E228" s="8">
        <v>37</v>
      </c>
      <c r="F228" s="8">
        <v>31</v>
      </c>
      <c r="G228" s="8">
        <v>27</v>
      </c>
      <c r="H228" s="8">
        <v>20</v>
      </c>
      <c r="J228" t="str">
        <f t="shared" si="24"/>
        <v>Netherlands</v>
      </c>
      <c r="K228" t="s">
        <v>106</v>
      </c>
      <c r="L228" s="16">
        <f t="shared" si="25"/>
        <v>0.26282051282051283</v>
      </c>
      <c r="M228" s="16">
        <f t="shared" si="26"/>
        <v>0.23717948717948717</v>
      </c>
      <c r="N228" s="16">
        <f t="shared" si="27"/>
        <v>0.19871794871794871</v>
      </c>
      <c r="O228" s="16">
        <f t="shared" si="28"/>
        <v>0.17307692307692307</v>
      </c>
      <c r="P228" s="16">
        <f t="shared" si="29"/>
        <v>0.12820512820512819</v>
      </c>
    </row>
    <row r="229" spans="1:16" x14ac:dyDescent="0.3">
      <c r="A229" s="5" t="s">
        <v>77</v>
      </c>
      <c r="B229" s="5" t="s">
        <v>38</v>
      </c>
      <c r="C229" s="5" t="s">
        <v>39</v>
      </c>
      <c r="D229" s="7">
        <v>35</v>
      </c>
      <c r="E229" s="7">
        <v>38</v>
      </c>
      <c r="F229" s="7">
        <v>41</v>
      </c>
      <c r="G229" s="7">
        <v>48</v>
      </c>
      <c r="H229" s="7">
        <v>53</v>
      </c>
      <c r="J229" t="str">
        <f t="shared" si="24"/>
        <v>Netherlands</v>
      </c>
      <c r="K229" t="s">
        <v>107</v>
      </c>
      <c r="L229" s="16">
        <f t="shared" si="25"/>
        <v>0.16279069767441862</v>
      </c>
      <c r="M229" s="16">
        <f t="shared" si="26"/>
        <v>0.17674418604651163</v>
      </c>
      <c r="N229" s="16">
        <f t="shared" si="27"/>
        <v>0.19069767441860466</v>
      </c>
      <c r="O229" s="16">
        <f t="shared" si="28"/>
        <v>0.22325581395348837</v>
      </c>
      <c r="P229" s="16">
        <f t="shared" si="29"/>
        <v>0.24651162790697675</v>
      </c>
    </row>
    <row r="230" spans="1:16" x14ac:dyDescent="0.3">
      <c r="A230" s="5" t="s">
        <v>77</v>
      </c>
      <c r="B230" s="5" t="s">
        <v>40</v>
      </c>
      <c r="C230" s="5" t="s">
        <v>41</v>
      </c>
      <c r="D230" s="8">
        <v>391</v>
      </c>
      <c r="E230" s="8">
        <v>360</v>
      </c>
      <c r="F230" s="8">
        <v>329</v>
      </c>
      <c r="G230" s="8">
        <v>291</v>
      </c>
      <c r="H230" s="8">
        <v>242</v>
      </c>
      <c r="J230" t="str">
        <f t="shared" si="24"/>
        <v>Netherlands</v>
      </c>
      <c r="K230" t="s">
        <v>108</v>
      </c>
      <c r="L230" s="16">
        <f t="shared" si="25"/>
        <v>0.24240545567265964</v>
      </c>
      <c r="M230" s="16">
        <f t="shared" si="26"/>
        <v>0.2231866088034718</v>
      </c>
      <c r="N230" s="16">
        <f t="shared" si="27"/>
        <v>0.20396776193428395</v>
      </c>
      <c r="O230" s="16">
        <f t="shared" si="28"/>
        <v>0.18040917544947302</v>
      </c>
      <c r="P230" s="16">
        <f t="shared" si="29"/>
        <v>0.15003099814011159</v>
      </c>
    </row>
    <row r="231" spans="1:16" x14ac:dyDescent="0.3">
      <c r="A231" s="5" t="s">
        <v>77</v>
      </c>
      <c r="B231" s="5" t="s">
        <v>42</v>
      </c>
      <c r="C231" s="5" t="s">
        <v>43</v>
      </c>
      <c r="D231" s="7">
        <v>36</v>
      </c>
      <c r="E231" s="7">
        <v>46</v>
      </c>
      <c r="F231" s="7">
        <v>51</v>
      </c>
      <c r="G231" s="7">
        <v>51</v>
      </c>
      <c r="H231" s="7">
        <v>60</v>
      </c>
      <c r="J231" t="str">
        <f t="shared" si="24"/>
        <v>Netherlands</v>
      </c>
      <c r="K231" t="s">
        <v>109</v>
      </c>
      <c r="L231" s="16">
        <f t="shared" si="25"/>
        <v>0.14754098360655737</v>
      </c>
      <c r="M231" s="16">
        <f t="shared" si="26"/>
        <v>0.18852459016393441</v>
      </c>
      <c r="N231" s="16">
        <f t="shared" si="27"/>
        <v>0.20901639344262296</v>
      </c>
      <c r="O231" s="16">
        <f t="shared" si="28"/>
        <v>0.20901639344262296</v>
      </c>
      <c r="P231" s="16">
        <f t="shared" si="29"/>
        <v>0.24590163934426229</v>
      </c>
    </row>
    <row r="232" spans="1:16" x14ac:dyDescent="0.3">
      <c r="A232" s="5" t="s">
        <v>77</v>
      </c>
      <c r="B232" s="5" t="s">
        <v>44</v>
      </c>
      <c r="C232" s="5" t="s">
        <v>45</v>
      </c>
      <c r="D232" s="8">
        <v>11</v>
      </c>
      <c r="E232" s="8">
        <v>14</v>
      </c>
      <c r="F232" s="8">
        <v>14</v>
      </c>
      <c r="G232" s="8">
        <v>12</v>
      </c>
      <c r="H232" s="8">
        <v>13</v>
      </c>
      <c r="J232" t="str">
        <f t="shared" si="24"/>
        <v>Netherlands</v>
      </c>
      <c r="K232" t="s">
        <v>110</v>
      </c>
      <c r="L232" s="16">
        <f t="shared" si="25"/>
        <v>0.171875</v>
      </c>
      <c r="M232" s="16">
        <f t="shared" si="26"/>
        <v>0.21875</v>
      </c>
      <c r="N232" s="16">
        <f t="shared" si="27"/>
        <v>0.21875</v>
      </c>
      <c r="O232" s="16">
        <f t="shared" si="28"/>
        <v>0.1875</v>
      </c>
      <c r="P232" s="16">
        <f t="shared" si="29"/>
        <v>0.203125</v>
      </c>
    </row>
    <row r="233" spans="1:16" x14ac:dyDescent="0.3">
      <c r="A233" s="5" t="s">
        <v>77</v>
      </c>
      <c r="B233" s="5" t="s">
        <v>46</v>
      </c>
      <c r="C233" s="5" t="s">
        <v>47</v>
      </c>
      <c r="D233" s="7">
        <v>70</v>
      </c>
      <c r="E233" s="7">
        <v>87</v>
      </c>
      <c r="F233" s="7">
        <v>114</v>
      </c>
      <c r="G233" s="7">
        <v>132</v>
      </c>
      <c r="H233" s="7">
        <v>164</v>
      </c>
      <c r="J233" t="str">
        <f t="shared" si="24"/>
        <v>Netherlands</v>
      </c>
      <c r="K233" t="s">
        <v>111</v>
      </c>
      <c r="L233" s="16">
        <f t="shared" si="25"/>
        <v>0.12345679012345678</v>
      </c>
      <c r="M233" s="16">
        <f t="shared" si="26"/>
        <v>0.15343915343915343</v>
      </c>
      <c r="N233" s="16">
        <f t="shared" si="27"/>
        <v>0.20105820105820105</v>
      </c>
      <c r="O233" s="16">
        <f t="shared" si="28"/>
        <v>0.23280423280423279</v>
      </c>
      <c r="P233" s="16">
        <f t="shared" si="29"/>
        <v>0.28924162257495589</v>
      </c>
    </row>
    <row r="234" spans="1:16" x14ac:dyDescent="0.3">
      <c r="A234" s="5" t="s">
        <v>77</v>
      </c>
      <c r="B234" s="5" t="s">
        <v>48</v>
      </c>
      <c r="C234" s="5" t="s">
        <v>49</v>
      </c>
      <c r="D234" s="8">
        <v>39</v>
      </c>
      <c r="E234" s="8">
        <v>37</v>
      </c>
      <c r="F234" s="8">
        <v>34</v>
      </c>
      <c r="G234" s="8">
        <v>32</v>
      </c>
      <c r="H234" s="8">
        <v>26</v>
      </c>
      <c r="J234" t="str">
        <f t="shared" si="24"/>
        <v>Netherlands</v>
      </c>
      <c r="K234" t="s">
        <v>112</v>
      </c>
      <c r="L234" s="16">
        <f t="shared" si="25"/>
        <v>0.23214285714285715</v>
      </c>
      <c r="M234" s="16">
        <f t="shared" si="26"/>
        <v>0.22023809523809523</v>
      </c>
      <c r="N234" s="16">
        <f t="shared" si="27"/>
        <v>0.20238095238095238</v>
      </c>
      <c r="O234" s="16">
        <f t="shared" si="28"/>
        <v>0.19047619047619047</v>
      </c>
      <c r="P234" s="16">
        <f t="shared" si="29"/>
        <v>0.15476190476190477</v>
      </c>
    </row>
    <row r="235" spans="1:16" x14ac:dyDescent="0.3">
      <c r="A235" s="5" t="s">
        <v>77</v>
      </c>
      <c r="B235" s="5" t="s">
        <v>50</v>
      </c>
      <c r="C235" s="5" t="s">
        <v>51</v>
      </c>
      <c r="D235" s="7">
        <v>66</v>
      </c>
      <c r="E235" s="7">
        <v>75</v>
      </c>
      <c r="F235" s="7">
        <v>78</v>
      </c>
      <c r="G235" s="7">
        <v>87</v>
      </c>
      <c r="H235" s="7">
        <v>96</v>
      </c>
      <c r="J235" t="str">
        <f t="shared" si="24"/>
        <v>Netherlands</v>
      </c>
      <c r="K235" t="s">
        <v>113</v>
      </c>
      <c r="L235" s="16">
        <f t="shared" si="25"/>
        <v>0.16417910447761194</v>
      </c>
      <c r="M235" s="16">
        <f t="shared" si="26"/>
        <v>0.18656716417910449</v>
      </c>
      <c r="N235" s="16">
        <f t="shared" si="27"/>
        <v>0.19402985074626866</v>
      </c>
      <c r="O235" s="16">
        <f t="shared" si="28"/>
        <v>0.21641791044776118</v>
      </c>
      <c r="P235" s="16">
        <f t="shared" si="29"/>
        <v>0.23880597014925373</v>
      </c>
    </row>
    <row r="236" spans="1:16" x14ac:dyDescent="0.3">
      <c r="A236" s="5" t="s">
        <v>77</v>
      </c>
      <c r="B236" s="5" t="s">
        <v>52</v>
      </c>
      <c r="C236" s="5" t="s">
        <v>53</v>
      </c>
      <c r="D236" s="8">
        <v>24</v>
      </c>
      <c r="E236" s="8">
        <v>9</v>
      </c>
      <c r="F236" s="8">
        <v>9</v>
      </c>
      <c r="G236" s="8">
        <v>11</v>
      </c>
      <c r="H236" s="8">
        <v>15</v>
      </c>
      <c r="J236" t="str">
        <f t="shared" si="24"/>
        <v>Netherlands</v>
      </c>
      <c r="K236" t="s">
        <v>114</v>
      </c>
      <c r="L236" s="16">
        <f t="shared" si="25"/>
        <v>0.35294117647058826</v>
      </c>
      <c r="M236" s="16">
        <f t="shared" si="26"/>
        <v>0.13235294117647059</v>
      </c>
      <c r="N236" s="16">
        <f t="shared" si="27"/>
        <v>0.13235294117647059</v>
      </c>
      <c r="O236" s="16">
        <f t="shared" si="28"/>
        <v>0.16176470588235295</v>
      </c>
      <c r="P236" s="16">
        <f t="shared" si="29"/>
        <v>0.22058823529411764</v>
      </c>
    </row>
    <row r="237" spans="1:16" x14ac:dyDescent="0.3">
      <c r="A237" s="5" t="s">
        <v>77</v>
      </c>
      <c r="B237" s="5" t="s">
        <v>54</v>
      </c>
      <c r="C237" s="5" t="s">
        <v>55</v>
      </c>
      <c r="D237" s="7">
        <v>47</v>
      </c>
      <c r="E237" s="7">
        <v>43</v>
      </c>
      <c r="F237" s="7">
        <v>50</v>
      </c>
      <c r="G237" s="7">
        <v>58</v>
      </c>
      <c r="H237" s="7">
        <v>71</v>
      </c>
      <c r="J237" t="str">
        <f t="shared" si="24"/>
        <v>Netherlands</v>
      </c>
      <c r="K237" t="s">
        <v>115</v>
      </c>
      <c r="L237" s="16">
        <f t="shared" si="25"/>
        <v>0.17472118959107807</v>
      </c>
      <c r="M237" s="16">
        <f t="shared" si="26"/>
        <v>0.15985130111524162</v>
      </c>
      <c r="N237" s="16">
        <f t="shared" si="27"/>
        <v>0.18587360594795538</v>
      </c>
      <c r="O237" s="16">
        <f t="shared" si="28"/>
        <v>0.21561338289962825</v>
      </c>
      <c r="P237" s="16">
        <f t="shared" si="29"/>
        <v>0.26394052044609667</v>
      </c>
    </row>
    <row r="238" spans="1:16" x14ac:dyDescent="0.3">
      <c r="A238" s="5" t="s">
        <v>77</v>
      </c>
      <c r="B238" s="5" t="s">
        <v>56</v>
      </c>
      <c r="C238" s="5" t="s">
        <v>57</v>
      </c>
      <c r="D238" s="8">
        <v>137</v>
      </c>
      <c r="E238" s="8">
        <v>143</v>
      </c>
      <c r="F238" s="8">
        <v>141</v>
      </c>
      <c r="G238" s="8">
        <v>143</v>
      </c>
      <c r="H238" s="8">
        <v>136</v>
      </c>
      <c r="J238" t="str">
        <f t="shared" si="24"/>
        <v>Netherlands</v>
      </c>
      <c r="K238" t="s">
        <v>116</v>
      </c>
      <c r="L238" s="16">
        <f t="shared" si="25"/>
        <v>0.1957142857142857</v>
      </c>
      <c r="M238" s="16">
        <f t="shared" si="26"/>
        <v>0.20428571428571429</v>
      </c>
      <c r="N238" s="16">
        <f t="shared" si="27"/>
        <v>0.20142857142857143</v>
      </c>
      <c r="O238" s="16">
        <f t="shared" si="28"/>
        <v>0.20428571428571429</v>
      </c>
      <c r="P238" s="16">
        <f t="shared" si="29"/>
        <v>0.19428571428571428</v>
      </c>
    </row>
    <row r="239" spans="1:16" x14ac:dyDescent="0.3">
      <c r="A239" s="5" t="s">
        <v>78</v>
      </c>
      <c r="B239" s="5" t="s">
        <v>34</v>
      </c>
      <c r="C239" s="5" t="s">
        <v>35</v>
      </c>
      <c r="D239" s="7">
        <v>137</v>
      </c>
      <c r="E239" s="7">
        <v>124</v>
      </c>
      <c r="F239" s="7">
        <v>120</v>
      </c>
      <c r="G239" s="7">
        <v>119</v>
      </c>
      <c r="H239" s="7">
        <v>107</v>
      </c>
      <c r="J239" t="str">
        <f t="shared" si="24"/>
        <v>Austria</v>
      </c>
      <c r="K239" t="s">
        <v>105</v>
      </c>
      <c r="L239" s="16">
        <f t="shared" si="25"/>
        <v>0.2257001647446458</v>
      </c>
      <c r="M239" s="16">
        <f t="shared" si="26"/>
        <v>0.2042833607907743</v>
      </c>
      <c r="N239" s="16">
        <f t="shared" si="27"/>
        <v>0.19769357495881384</v>
      </c>
      <c r="O239" s="16">
        <f t="shared" si="28"/>
        <v>0.19604612850082373</v>
      </c>
      <c r="P239" s="16">
        <f t="shared" si="29"/>
        <v>0.17627677100494235</v>
      </c>
    </row>
    <row r="240" spans="1:16" x14ac:dyDescent="0.3">
      <c r="A240" s="5" t="s">
        <v>78</v>
      </c>
      <c r="B240" s="5" t="s">
        <v>36</v>
      </c>
      <c r="C240" s="5" t="s">
        <v>37</v>
      </c>
      <c r="D240" s="8">
        <v>33</v>
      </c>
      <c r="E240" s="8">
        <v>27</v>
      </c>
      <c r="F240" s="8">
        <v>23</v>
      </c>
      <c r="G240" s="8">
        <v>22</v>
      </c>
      <c r="H240" s="8">
        <v>17</v>
      </c>
      <c r="J240" t="str">
        <f t="shared" si="24"/>
        <v>Austria</v>
      </c>
      <c r="K240" t="s">
        <v>106</v>
      </c>
      <c r="L240" s="16">
        <f t="shared" si="25"/>
        <v>0.27049180327868855</v>
      </c>
      <c r="M240" s="16">
        <f t="shared" si="26"/>
        <v>0.22131147540983606</v>
      </c>
      <c r="N240" s="16">
        <f t="shared" si="27"/>
        <v>0.18852459016393441</v>
      </c>
      <c r="O240" s="16">
        <f t="shared" si="28"/>
        <v>0.18032786885245902</v>
      </c>
      <c r="P240" s="16">
        <f t="shared" si="29"/>
        <v>0.13934426229508196</v>
      </c>
    </row>
    <row r="241" spans="1:16" x14ac:dyDescent="0.3">
      <c r="A241" s="5" t="s">
        <v>78</v>
      </c>
      <c r="B241" s="5" t="s">
        <v>38</v>
      </c>
      <c r="C241" s="5" t="s">
        <v>39</v>
      </c>
      <c r="D241" s="7">
        <v>43</v>
      </c>
      <c r="E241" s="7">
        <v>43</v>
      </c>
      <c r="F241" s="7">
        <v>46</v>
      </c>
      <c r="G241" s="7">
        <v>49</v>
      </c>
      <c r="H241" s="7">
        <v>56</v>
      </c>
      <c r="J241" t="str">
        <f t="shared" si="24"/>
        <v>Austria</v>
      </c>
      <c r="K241" t="s">
        <v>107</v>
      </c>
      <c r="L241" s="16">
        <f t="shared" si="25"/>
        <v>0.18143459915611815</v>
      </c>
      <c r="M241" s="16">
        <f t="shared" si="26"/>
        <v>0.18143459915611815</v>
      </c>
      <c r="N241" s="16">
        <f t="shared" si="27"/>
        <v>0.1940928270042194</v>
      </c>
      <c r="O241" s="16">
        <f t="shared" si="28"/>
        <v>0.20675105485232068</v>
      </c>
      <c r="P241" s="16">
        <f t="shared" si="29"/>
        <v>0.23628691983122363</v>
      </c>
    </row>
    <row r="242" spans="1:16" x14ac:dyDescent="0.3">
      <c r="A242" s="5" t="s">
        <v>78</v>
      </c>
      <c r="B242" s="5" t="s">
        <v>40</v>
      </c>
      <c r="C242" s="5" t="s">
        <v>41</v>
      </c>
      <c r="D242" s="8">
        <v>327</v>
      </c>
      <c r="E242" s="8">
        <v>295</v>
      </c>
      <c r="F242" s="8">
        <v>265</v>
      </c>
      <c r="G242" s="8">
        <v>258</v>
      </c>
      <c r="H242" s="8">
        <v>223</v>
      </c>
      <c r="J242" t="str">
        <f t="shared" si="24"/>
        <v>Austria</v>
      </c>
      <c r="K242" t="s">
        <v>108</v>
      </c>
      <c r="L242" s="16">
        <f t="shared" si="25"/>
        <v>0.23903508771929824</v>
      </c>
      <c r="M242" s="16">
        <f t="shared" si="26"/>
        <v>0.21564327485380116</v>
      </c>
      <c r="N242" s="16">
        <f t="shared" si="27"/>
        <v>0.19371345029239767</v>
      </c>
      <c r="O242" s="16">
        <f t="shared" si="28"/>
        <v>0.18859649122807018</v>
      </c>
      <c r="P242" s="16">
        <f t="shared" si="29"/>
        <v>0.16301169590643275</v>
      </c>
    </row>
    <row r="243" spans="1:16" x14ac:dyDescent="0.3">
      <c r="A243" s="5" t="s">
        <v>78</v>
      </c>
      <c r="B243" s="5" t="s">
        <v>42</v>
      </c>
      <c r="C243" s="5" t="s">
        <v>43</v>
      </c>
      <c r="D243" s="7">
        <v>62</v>
      </c>
      <c r="E243" s="7">
        <v>58</v>
      </c>
      <c r="F243" s="7">
        <v>76</v>
      </c>
      <c r="G243" s="7">
        <v>72</v>
      </c>
      <c r="H243" s="7">
        <v>74</v>
      </c>
      <c r="J243" t="str">
        <f t="shared" si="24"/>
        <v>Austria</v>
      </c>
      <c r="K243" t="s">
        <v>109</v>
      </c>
      <c r="L243" s="16">
        <f t="shared" si="25"/>
        <v>0.18128654970760233</v>
      </c>
      <c r="M243" s="16">
        <f t="shared" si="26"/>
        <v>0.16959064327485379</v>
      </c>
      <c r="N243" s="16">
        <f t="shared" si="27"/>
        <v>0.22222222222222221</v>
      </c>
      <c r="O243" s="16">
        <f t="shared" si="28"/>
        <v>0.21052631578947367</v>
      </c>
      <c r="P243" s="16">
        <f t="shared" si="29"/>
        <v>0.21637426900584794</v>
      </c>
    </row>
    <row r="244" spans="1:16" x14ac:dyDescent="0.3">
      <c r="A244" s="5" t="s">
        <v>78</v>
      </c>
      <c r="B244" s="5" t="s">
        <v>44</v>
      </c>
      <c r="C244" s="5" t="s">
        <v>45</v>
      </c>
      <c r="D244" s="8">
        <v>36</v>
      </c>
      <c r="E244" s="8">
        <v>38</v>
      </c>
      <c r="F244" s="8">
        <v>38</v>
      </c>
      <c r="G244" s="8">
        <v>39</v>
      </c>
      <c r="H244" s="8">
        <v>39</v>
      </c>
      <c r="J244" t="str">
        <f t="shared" si="24"/>
        <v>Austria</v>
      </c>
      <c r="K244" t="s">
        <v>110</v>
      </c>
      <c r="L244" s="16">
        <f t="shared" si="25"/>
        <v>0.18947368421052632</v>
      </c>
      <c r="M244" s="16">
        <f t="shared" si="26"/>
        <v>0.2</v>
      </c>
      <c r="N244" s="16">
        <f t="shared" si="27"/>
        <v>0.2</v>
      </c>
      <c r="O244" s="16">
        <f t="shared" si="28"/>
        <v>0.20526315789473684</v>
      </c>
      <c r="P244" s="16">
        <f t="shared" si="29"/>
        <v>0.20526315789473684</v>
      </c>
    </row>
    <row r="245" spans="1:16" x14ac:dyDescent="0.3">
      <c r="A245" s="5" t="s">
        <v>78</v>
      </c>
      <c r="B245" s="5" t="s">
        <v>46</v>
      </c>
      <c r="C245" s="5" t="s">
        <v>47</v>
      </c>
      <c r="D245" s="7">
        <v>90</v>
      </c>
      <c r="E245" s="7">
        <v>134</v>
      </c>
      <c r="F245" s="7">
        <v>140</v>
      </c>
      <c r="G245" s="7">
        <v>147</v>
      </c>
      <c r="H245" s="7">
        <v>160</v>
      </c>
      <c r="J245" t="str">
        <f t="shared" si="24"/>
        <v>Austria</v>
      </c>
      <c r="K245" t="s">
        <v>111</v>
      </c>
      <c r="L245" s="16">
        <f t="shared" si="25"/>
        <v>0.13412816691505217</v>
      </c>
      <c r="M245" s="16">
        <f t="shared" si="26"/>
        <v>0.19970193740685543</v>
      </c>
      <c r="N245" s="16">
        <f t="shared" si="27"/>
        <v>0.20864381520119224</v>
      </c>
      <c r="O245" s="16">
        <f t="shared" si="28"/>
        <v>0.21907600596125187</v>
      </c>
      <c r="P245" s="16">
        <f t="shared" si="29"/>
        <v>0.23845007451564829</v>
      </c>
    </row>
    <row r="246" spans="1:16" x14ac:dyDescent="0.3">
      <c r="A246" s="5" t="s">
        <v>78</v>
      </c>
      <c r="B246" s="5" t="s">
        <v>48</v>
      </c>
      <c r="C246" s="5" t="s">
        <v>49</v>
      </c>
      <c r="D246" s="8">
        <v>17</v>
      </c>
      <c r="E246" s="8">
        <v>16</v>
      </c>
      <c r="F246" s="8">
        <v>16</v>
      </c>
      <c r="G246" s="8">
        <v>15</v>
      </c>
      <c r="H246" s="8">
        <v>13</v>
      </c>
      <c r="J246" t="str">
        <f t="shared" si="24"/>
        <v>Austria</v>
      </c>
      <c r="K246" t="s">
        <v>112</v>
      </c>
      <c r="L246" s="16">
        <f t="shared" si="25"/>
        <v>0.22077922077922077</v>
      </c>
      <c r="M246" s="16">
        <f t="shared" si="26"/>
        <v>0.20779220779220781</v>
      </c>
      <c r="N246" s="16">
        <f t="shared" si="27"/>
        <v>0.20779220779220781</v>
      </c>
      <c r="O246" s="16">
        <f t="shared" si="28"/>
        <v>0.19480519480519481</v>
      </c>
      <c r="P246" s="16">
        <f t="shared" si="29"/>
        <v>0.16883116883116883</v>
      </c>
    </row>
    <row r="247" spans="1:16" x14ac:dyDescent="0.3">
      <c r="A247" s="5" t="s">
        <v>78</v>
      </c>
      <c r="B247" s="5" t="s">
        <v>50</v>
      </c>
      <c r="C247" s="5" t="s">
        <v>51</v>
      </c>
      <c r="D247" s="7">
        <v>98</v>
      </c>
      <c r="E247" s="7">
        <v>100</v>
      </c>
      <c r="F247" s="7">
        <v>107</v>
      </c>
      <c r="G247" s="7">
        <v>114</v>
      </c>
      <c r="H247" s="7">
        <v>132</v>
      </c>
      <c r="J247" t="str">
        <f t="shared" si="24"/>
        <v>Austria</v>
      </c>
      <c r="K247" t="s">
        <v>113</v>
      </c>
      <c r="L247" s="16">
        <f t="shared" si="25"/>
        <v>0.17785843920145192</v>
      </c>
      <c r="M247" s="16">
        <f t="shared" si="26"/>
        <v>0.18148820326678766</v>
      </c>
      <c r="N247" s="16">
        <f t="shared" si="27"/>
        <v>0.19419237749546278</v>
      </c>
      <c r="O247" s="16">
        <f t="shared" si="28"/>
        <v>0.20689655172413793</v>
      </c>
      <c r="P247" s="16">
        <f t="shared" si="29"/>
        <v>0.23956442831215971</v>
      </c>
    </row>
    <row r="248" spans="1:16" x14ac:dyDescent="0.3">
      <c r="A248" s="5" t="s">
        <v>78</v>
      </c>
      <c r="B248" s="5" t="s">
        <v>52</v>
      </c>
      <c r="C248" s="5" t="s">
        <v>53</v>
      </c>
      <c r="D248" s="8">
        <v>13</v>
      </c>
      <c r="E248" s="8">
        <v>7</v>
      </c>
      <c r="F248" s="8">
        <v>8</v>
      </c>
      <c r="G248" s="8">
        <v>10</v>
      </c>
      <c r="H248" s="8">
        <v>15</v>
      </c>
      <c r="J248" t="str">
        <f t="shared" si="24"/>
        <v>Austria</v>
      </c>
      <c r="K248" t="s">
        <v>114</v>
      </c>
      <c r="L248" s="16">
        <f t="shared" si="25"/>
        <v>0.24528301886792453</v>
      </c>
      <c r="M248" s="16">
        <f t="shared" si="26"/>
        <v>0.13207547169811321</v>
      </c>
      <c r="N248" s="16">
        <f t="shared" si="27"/>
        <v>0.15094339622641509</v>
      </c>
      <c r="O248" s="16">
        <f t="shared" si="28"/>
        <v>0.18867924528301888</v>
      </c>
      <c r="P248" s="16">
        <f t="shared" si="29"/>
        <v>0.28301886792452829</v>
      </c>
    </row>
    <row r="249" spans="1:16" x14ac:dyDescent="0.3">
      <c r="A249" s="5" t="s">
        <v>78</v>
      </c>
      <c r="B249" s="5" t="s">
        <v>54</v>
      </c>
      <c r="C249" s="5" t="s">
        <v>55</v>
      </c>
      <c r="D249" s="7">
        <v>64</v>
      </c>
      <c r="E249" s="7">
        <v>68</v>
      </c>
      <c r="F249" s="7">
        <v>68</v>
      </c>
      <c r="G249" s="7">
        <v>65</v>
      </c>
      <c r="H249" s="7">
        <v>74</v>
      </c>
      <c r="J249" t="str">
        <f t="shared" si="24"/>
        <v>Austria</v>
      </c>
      <c r="K249" t="s">
        <v>115</v>
      </c>
      <c r="L249" s="16">
        <f t="shared" si="25"/>
        <v>0.1887905604719764</v>
      </c>
      <c r="M249" s="16">
        <f t="shared" si="26"/>
        <v>0.20058997050147492</v>
      </c>
      <c r="N249" s="16">
        <f t="shared" si="27"/>
        <v>0.20058997050147492</v>
      </c>
      <c r="O249" s="16">
        <f t="shared" si="28"/>
        <v>0.19174041297935104</v>
      </c>
      <c r="P249" s="16">
        <f t="shared" si="29"/>
        <v>0.21828908554572271</v>
      </c>
    </row>
    <row r="250" spans="1:16" x14ac:dyDescent="0.3">
      <c r="A250" s="5" t="s">
        <v>78</v>
      </c>
      <c r="B250" s="5" t="s">
        <v>56</v>
      </c>
      <c r="C250" s="5" t="s">
        <v>57</v>
      </c>
      <c r="D250" s="8">
        <v>82</v>
      </c>
      <c r="E250" s="8">
        <v>90</v>
      </c>
      <c r="F250" s="8">
        <v>94</v>
      </c>
      <c r="G250" s="8">
        <v>89</v>
      </c>
      <c r="H250" s="8">
        <v>89</v>
      </c>
      <c r="J250" t="str">
        <f t="shared" si="24"/>
        <v>Austria</v>
      </c>
      <c r="K250" t="s">
        <v>116</v>
      </c>
      <c r="L250" s="16">
        <f t="shared" si="25"/>
        <v>0.18468468468468469</v>
      </c>
      <c r="M250" s="16">
        <f t="shared" si="26"/>
        <v>0.20270270270270271</v>
      </c>
      <c r="N250" s="16">
        <f t="shared" si="27"/>
        <v>0.21171171171171171</v>
      </c>
      <c r="O250" s="16">
        <f t="shared" si="28"/>
        <v>0.20045045045045046</v>
      </c>
      <c r="P250" s="16">
        <f t="shared" si="29"/>
        <v>0.20045045045045046</v>
      </c>
    </row>
    <row r="251" spans="1:16" x14ac:dyDescent="0.3">
      <c r="A251" s="5" t="s">
        <v>79</v>
      </c>
      <c r="B251" s="5" t="s">
        <v>34</v>
      </c>
      <c r="C251" s="5" t="s">
        <v>35</v>
      </c>
      <c r="D251" s="7">
        <v>237</v>
      </c>
      <c r="E251" s="7">
        <v>236</v>
      </c>
      <c r="F251" s="7">
        <v>229</v>
      </c>
      <c r="G251" s="7">
        <v>216</v>
      </c>
      <c r="H251" s="7">
        <v>178</v>
      </c>
      <c r="J251" t="str">
        <f t="shared" si="24"/>
        <v>Poland</v>
      </c>
      <c r="K251" t="s">
        <v>105</v>
      </c>
      <c r="L251" s="16">
        <f t="shared" si="25"/>
        <v>0.21624087591240876</v>
      </c>
      <c r="M251" s="16">
        <f t="shared" si="26"/>
        <v>0.21532846715328466</v>
      </c>
      <c r="N251" s="16">
        <f t="shared" si="27"/>
        <v>0.20894160583941607</v>
      </c>
      <c r="O251" s="16">
        <f t="shared" si="28"/>
        <v>0.19708029197080293</v>
      </c>
      <c r="P251" s="16">
        <f t="shared" si="29"/>
        <v>0.16240875912408759</v>
      </c>
    </row>
    <row r="252" spans="1:16" x14ac:dyDescent="0.3">
      <c r="A252" s="5" t="s">
        <v>79</v>
      </c>
      <c r="B252" s="5" t="s">
        <v>36</v>
      </c>
      <c r="C252" s="5" t="s">
        <v>37</v>
      </c>
      <c r="D252" s="8">
        <v>21</v>
      </c>
      <c r="E252" s="8">
        <v>22</v>
      </c>
      <c r="F252" s="8">
        <v>23</v>
      </c>
      <c r="G252" s="8">
        <v>22</v>
      </c>
      <c r="H252" s="8">
        <v>21</v>
      </c>
      <c r="J252" t="str">
        <f t="shared" si="24"/>
        <v>Poland</v>
      </c>
      <c r="K252" t="s">
        <v>106</v>
      </c>
      <c r="L252" s="16">
        <f t="shared" si="25"/>
        <v>0.19266055045871561</v>
      </c>
      <c r="M252" s="16">
        <f t="shared" si="26"/>
        <v>0.20183486238532111</v>
      </c>
      <c r="N252" s="16">
        <f t="shared" si="27"/>
        <v>0.21100917431192662</v>
      </c>
      <c r="O252" s="16">
        <f t="shared" si="28"/>
        <v>0.20183486238532111</v>
      </c>
      <c r="P252" s="16">
        <f t="shared" si="29"/>
        <v>0.19266055045871561</v>
      </c>
    </row>
    <row r="253" spans="1:16" x14ac:dyDescent="0.3">
      <c r="A253" s="5" t="s">
        <v>79</v>
      </c>
      <c r="B253" s="5" t="s">
        <v>38</v>
      </c>
      <c r="C253" s="5" t="s">
        <v>39</v>
      </c>
      <c r="D253" s="7">
        <v>31</v>
      </c>
      <c r="E253" s="7">
        <v>36</v>
      </c>
      <c r="F253" s="7">
        <v>43</v>
      </c>
      <c r="G253" s="7">
        <v>50</v>
      </c>
      <c r="H253" s="7">
        <v>59</v>
      </c>
      <c r="J253" t="str">
        <f t="shared" si="24"/>
        <v>Poland</v>
      </c>
      <c r="K253" t="s">
        <v>107</v>
      </c>
      <c r="L253" s="16">
        <f t="shared" si="25"/>
        <v>0.14155251141552511</v>
      </c>
      <c r="M253" s="16">
        <f t="shared" si="26"/>
        <v>0.16438356164383561</v>
      </c>
      <c r="N253" s="16">
        <f t="shared" si="27"/>
        <v>0.19634703196347031</v>
      </c>
      <c r="O253" s="16">
        <f t="shared" si="28"/>
        <v>0.22831050228310501</v>
      </c>
      <c r="P253" s="16">
        <f t="shared" si="29"/>
        <v>0.26940639269406391</v>
      </c>
    </row>
    <row r="254" spans="1:16" x14ac:dyDescent="0.3">
      <c r="A254" s="5" t="s">
        <v>79</v>
      </c>
      <c r="B254" s="5" t="s">
        <v>40</v>
      </c>
      <c r="C254" s="5" t="s">
        <v>41</v>
      </c>
      <c r="D254" s="8">
        <v>424</v>
      </c>
      <c r="E254" s="8">
        <v>401</v>
      </c>
      <c r="F254" s="8">
        <v>360</v>
      </c>
      <c r="G254" s="8">
        <v>328</v>
      </c>
      <c r="H254" s="8">
        <v>283</v>
      </c>
      <c r="J254" t="str">
        <f t="shared" si="24"/>
        <v>Poland</v>
      </c>
      <c r="K254" t="s">
        <v>108</v>
      </c>
      <c r="L254" s="16">
        <f t="shared" si="25"/>
        <v>0.23608017817371937</v>
      </c>
      <c r="M254" s="16">
        <f t="shared" si="26"/>
        <v>0.22327394209354121</v>
      </c>
      <c r="N254" s="16">
        <f t="shared" si="27"/>
        <v>0.20044543429844097</v>
      </c>
      <c r="O254" s="16">
        <f t="shared" si="28"/>
        <v>0.18262806236080179</v>
      </c>
      <c r="P254" s="16">
        <f t="shared" si="29"/>
        <v>0.15757238307349666</v>
      </c>
    </row>
    <row r="255" spans="1:16" x14ac:dyDescent="0.3">
      <c r="A255" s="5" t="s">
        <v>79</v>
      </c>
      <c r="B255" s="5" t="s">
        <v>42</v>
      </c>
      <c r="C255" s="5" t="s">
        <v>43</v>
      </c>
      <c r="D255" s="7">
        <v>33</v>
      </c>
      <c r="E255" s="7">
        <v>35</v>
      </c>
      <c r="F255" s="7">
        <v>41</v>
      </c>
      <c r="G255" s="7">
        <v>44</v>
      </c>
      <c r="H255" s="7">
        <v>53</v>
      </c>
      <c r="J255" t="str">
        <f t="shared" si="24"/>
        <v>Poland</v>
      </c>
      <c r="K255" t="s">
        <v>109</v>
      </c>
      <c r="L255" s="16">
        <f t="shared" si="25"/>
        <v>0.16019417475728157</v>
      </c>
      <c r="M255" s="16">
        <f t="shared" si="26"/>
        <v>0.16990291262135923</v>
      </c>
      <c r="N255" s="16">
        <f t="shared" si="27"/>
        <v>0.19902912621359223</v>
      </c>
      <c r="O255" s="16">
        <f t="shared" si="28"/>
        <v>0.21359223300970873</v>
      </c>
      <c r="P255" s="16">
        <f t="shared" si="29"/>
        <v>0.25728155339805825</v>
      </c>
    </row>
    <row r="256" spans="1:16" x14ac:dyDescent="0.3">
      <c r="A256" s="5" t="s">
        <v>79</v>
      </c>
      <c r="B256" s="5" t="s">
        <v>44</v>
      </c>
      <c r="C256" s="5" t="s">
        <v>45</v>
      </c>
      <c r="D256" s="8">
        <v>51</v>
      </c>
      <c r="E256" s="8">
        <v>49</v>
      </c>
      <c r="F256" s="8">
        <v>47</v>
      </c>
      <c r="G256" s="8">
        <v>45</v>
      </c>
      <c r="H256" s="8">
        <v>44</v>
      </c>
      <c r="J256" t="str">
        <f t="shared" si="24"/>
        <v>Poland</v>
      </c>
      <c r="K256" t="s">
        <v>110</v>
      </c>
      <c r="L256" s="16">
        <f t="shared" si="25"/>
        <v>0.21610169491525424</v>
      </c>
      <c r="M256" s="16">
        <f t="shared" si="26"/>
        <v>0.2076271186440678</v>
      </c>
      <c r="N256" s="16">
        <f t="shared" si="27"/>
        <v>0.19915254237288135</v>
      </c>
      <c r="O256" s="16">
        <f t="shared" si="28"/>
        <v>0.19067796610169491</v>
      </c>
      <c r="P256" s="16">
        <f t="shared" si="29"/>
        <v>0.1864406779661017</v>
      </c>
    </row>
    <row r="257" spans="1:16" x14ac:dyDescent="0.3">
      <c r="A257" s="5" t="s">
        <v>79</v>
      </c>
      <c r="B257" s="5" t="s">
        <v>46</v>
      </c>
      <c r="C257" s="5" t="s">
        <v>47</v>
      </c>
      <c r="D257" s="7">
        <v>41</v>
      </c>
      <c r="E257" s="7">
        <v>51</v>
      </c>
      <c r="F257" s="7">
        <v>68</v>
      </c>
      <c r="G257" s="7">
        <v>83</v>
      </c>
      <c r="H257" s="7">
        <v>101</v>
      </c>
      <c r="J257" t="str">
        <f t="shared" si="24"/>
        <v>Poland</v>
      </c>
      <c r="K257" t="s">
        <v>111</v>
      </c>
      <c r="L257" s="16">
        <f t="shared" si="25"/>
        <v>0.11918604651162791</v>
      </c>
      <c r="M257" s="16">
        <f t="shared" si="26"/>
        <v>0.14825581395348839</v>
      </c>
      <c r="N257" s="16">
        <f t="shared" si="27"/>
        <v>0.19767441860465115</v>
      </c>
      <c r="O257" s="16">
        <f t="shared" si="28"/>
        <v>0.24127906976744187</v>
      </c>
      <c r="P257" s="16">
        <f t="shared" si="29"/>
        <v>0.29360465116279072</v>
      </c>
    </row>
    <row r="258" spans="1:16" x14ac:dyDescent="0.3">
      <c r="A258" s="5" t="s">
        <v>79</v>
      </c>
      <c r="B258" s="5" t="s">
        <v>48</v>
      </c>
      <c r="C258" s="5" t="s">
        <v>49</v>
      </c>
      <c r="D258" s="8">
        <v>39</v>
      </c>
      <c r="E258" s="8">
        <v>46</v>
      </c>
      <c r="F258" s="8">
        <v>48</v>
      </c>
      <c r="G258" s="8">
        <v>48</v>
      </c>
      <c r="H258" s="8">
        <v>41</v>
      </c>
      <c r="J258" t="str">
        <f t="shared" si="24"/>
        <v>Poland</v>
      </c>
      <c r="K258" t="s">
        <v>112</v>
      </c>
      <c r="L258" s="16">
        <f t="shared" si="25"/>
        <v>0.17567567567567569</v>
      </c>
      <c r="M258" s="16">
        <f t="shared" si="26"/>
        <v>0.2072072072072072</v>
      </c>
      <c r="N258" s="16">
        <f t="shared" si="27"/>
        <v>0.21621621621621623</v>
      </c>
      <c r="O258" s="16">
        <f t="shared" si="28"/>
        <v>0.21621621621621623</v>
      </c>
      <c r="P258" s="16">
        <f t="shared" si="29"/>
        <v>0.18468468468468469</v>
      </c>
    </row>
    <row r="259" spans="1:16" x14ac:dyDescent="0.3">
      <c r="A259" s="5" t="s">
        <v>79</v>
      </c>
      <c r="B259" s="5" t="s">
        <v>50</v>
      </c>
      <c r="C259" s="5" t="s">
        <v>51</v>
      </c>
      <c r="D259" s="7">
        <v>38</v>
      </c>
      <c r="E259" s="7">
        <v>40</v>
      </c>
      <c r="F259" s="7">
        <v>49</v>
      </c>
      <c r="G259" s="7">
        <v>57</v>
      </c>
      <c r="H259" s="7">
        <v>81</v>
      </c>
      <c r="J259" t="str">
        <f t="shared" si="24"/>
        <v>Poland</v>
      </c>
      <c r="K259" t="s">
        <v>113</v>
      </c>
      <c r="L259" s="16">
        <f t="shared" si="25"/>
        <v>0.14339622641509434</v>
      </c>
      <c r="M259" s="16">
        <f t="shared" si="26"/>
        <v>0.15094339622641509</v>
      </c>
      <c r="N259" s="16">
        <f t="shared" si="27"/>
        <v>0.18490566037735848</v>
      </c>
      <c r="O259" s="16">
        <f t="shared" si="28"/>
        <v>0.21509433962264152</v>
      </c>
      <c r="P259" s="16">
        <f t="shared" si="29"/>
        <v>0.30566037735849055</v>
      </c>
    </row>
    <row r="260" spans="1:16" x14ac:dyDescent="0.3">
      <c r="A260" s="5" t="s">
        <v>79</v>
      </c>
      <c r="B260" s="5" t="s">
        <v>52</v>
      </c>
      <c r="C260" s="5" t="s">
        <v>53</v>
      </c>
      <c r="D260" s="8">
        <v>3</v>
      </c>
      <c r="E260" s="8">
        <v>3</v>
      </c>
      <c r="F260" s="8">
        <v>5</v>
      </c>
      <c r="G260" s="8">
        <v>8</v>
      </c>
      <c r="H260" s="8">
        <v>16</v>
      </c>
      <c r="J260" t="str">
        <f t="shared" si="24"/>
        <v>Poland</v>
      </c>
      <c r="K260" t="s">
        <v>114</v>
      </c>
      <c r="L260" s="16">
        <f t="shared" si="25"/>
        <v>8.5714285714285715E-2</v>
      </c>
      <c r="M260" s="16">
        <f t="shared" si="26"/>
        <v>8.5714285714285715E-2</v>
      </c>
      <c r="N260" s="16">
        <f t="shared" si="27"/>
        <v>0.14285714285714285</v>
      </c>
      <c r="O260" s="16">
        <f t="shared" si="28"/>
        <v>0.22857142857142856</v>
      </c>
      <c r="P260" s="16">
        <f t="shared" si="29"/>
        <v>0.45714285714285713</v>
      </c>
    </row>
    <row r="261" spans="1:16" x14ac:dyDescent="0.3">
      <c r="A261" s="5" t="s">
        <v>79</v>
      </c>
      <c r="B261" s="5" t="s">
        <v>54</v>
      </c>
      <c r="C261" s="5" t="s">
        <v>55</v>
      </c>
      <c r="D261" s="7">
        <v>40</v>
      </c>
      <c r="E261" s="7">
        <v>33</v>
      </c>
      <c r="F261" s="7">
        <v>31</v>
      </c>
      <c r="G261" s="7">
        <v>32</v>
      </c>
      <c r="H261" s="7">
        <v>43</v>
      </c>
      <c r="J261" t="str">
        <f t="shared" si="24"/>
        <v>Poland</v>
      </c>
      <c r="K261" t="s">
        <v>115</v>
      </c>
      <c r="L261" s="16">
        <f t="shared" si="25"/>
        <v>0.22346368715083798</v>
      </c>
      <c r="M261" s="16">
        <f t="shared" si="26"/>
        <v>0.18435754189944134</v>
      </c>
      <c r="N261" s="16">
        <f t="shared" si="27"/>
        <v>0.17318435754189945</v>
      </c>
      <c r="O261" s="16">
        <f t="shared" si="28"/>
        <v>0.1787709497206704</v>
      </c>
      <c r="P261" s="16">
        <f t="shared" si="29"/>
        <v>0.24022346368715083</v>
      </c>
    </row>
    <row r="262" spans="1:16" x14ac:dyDescent="0.3">
      <c r="A262" s="5" t="s">
        <v>79</v>
      </c>
      <c r="B262" s="5" t="s">
        <v>56</v>
      </c>
      <c r="C262" s="5" t="s">
        <v>57</v>
      </c>
      <c r="D262" s="8">
        <v>41</v>
      </c>
      <c r="E262" s="8">
        <v>47</v>
      </c>
      <c r="F262" s="8">
        <v>56</v>
      </c>
      <c r="G262" s="8">
        <v>67</v>
      </c>
      <c r="H262" s="8">
        <v>80</v>
      </c>
      <c r="J262" t="str">
        <f t="shared" si="24"/>
        <v>Poland</v>
      </c>
      <c r="K262" t="s">
        <v>116</v>
      </c>
      <c r="L262" s="16">
        <f t="shared" si="25"/>
        <v>0.14089347079037801</v>
      </c>
      <c r="M262" s="16">
        <f t="shared" si="26"/>
        <v>0.16151202749140894</v>
      </c>
      <c r="N262" s="16">
        <f t="shared" si="27"/>
        <v>0.19243986254295534</v>
      </c>
      <c r="O262" s="16">
        <f t="shared" si="28"/>
        <v>0.23024054982817868</v>
      </c>
      <c r="P262" s="16">
        <f t="shared" si="29"/>
        <v>0.27491408934707906</v>
      </c>
    </row>
    <row r="263" spans="1:16" x14ac:dyDescent="0.3">
      <c r="A263" s="5" t="s">
        <v>80</v>
      </c>
      <c r="B263" s="5" t="s">
        <v>34</v>
      </c>
      <c r="C263" s="5" t="s">
        <v>35</v>
      </c>
      <c r="D263" s="7">
        <v>183</v>
      </c>
      <c r="E263" s="7">
        <v>168</v>
      </c>
      <c r="F263" s="7">
        <v>156</v>
      </c>
      <c r="G263" s="7">
        <v>144</v>
      </c>
      <c r="H263" s="7">
        <v>116</v>
      </c>
      <c r="J263" t="str">
        <f t="shared" si="24"/>
        <v>Portugal</v>
      </c>
      <c r="K263" t="s">
        <v>105</v>
      </c>
      <c r="L263" s="16">
        <f t="shared" si="25"/>
        <v>0.23859191655801826</v>
      </c>
      <c r="M263" s="16">
        <f t="shared" si="26"/>
        <v>0.21903520208604954</v>
      </c>
      <c r="N263" s="16">
        <f t="shared" si="27"/>
        <v>0.20338983050847459</v>
      </c>
      <c r="O263" s="16">
        <f t="shared" si="28"/>
        <v>0.18774445893089961</v>
      </c>
      <c r="P263" s="16">
        <f t="shared" si="29"/>
        <v>0.15123859191655803</v>
      </c>
    </row>
    <row r="264" spans="1:16" x14ac:dyDescent="0.3">
      <c r="A264" s="5" t="s">
        <v>80</v>
      </c>
      <c r="B264" s="5" t="s">
        <v>36</v>
      </c>
      <c r="C264" s="5" t="s">
        <v>37</v>
      </c>
      <c r="D264" s="8">
        <v>20</v>
      </c>
      <c r="E264" s="8">
        <v>20</v>
      </c>
      <c r="F264" s="8">
        <v>17</v>
      </c>
      <c r="G264" s="8">
        <v>15</v>
      </c>
      <c r="H264" s="8">
        <v>12</v>
      </c>
      <c r="J264" t="str">
        <f t="shared" si="24"/>
        <v>Portugal</v>
      </c>
      <c r="K264" t="s">
        <v>106</v>
      </c>
      <c r="L264" s="16">
        <f t="shared" si="25"/>
        <v>0.23809523809523808</v>
      </c>
      <c r="M264" s="16">
        <f t="shared" si="26"/>
        <v>0.23809523809523808</v>
      </c>
      <c r="N264" s="16">
        <f t="shared" si="27"/>
        <v>0.20238095238095238</v>
      </c>
      <c r="O264" s="16">
        <f t="shared" si="28"/>
        <v>0.17857142857142858</v>
      </c>
      <c r="P264" s="16">
        <f t="shared" si="29"/>
        <v>0.14285714285714285</v>
      </c>
    </row>
    <row r="265" spans="1:16" x14ac:dyDescent="0.3">
      <c r="A265" s="5" t="s">
        <v>80</v>
      </c>
      <c r="B265" s="5" t="s">
        <v>38</v>
      </c>
      <c r="C265" s="5" t="s">
        <v>39</v>
      </c>
      <c r="D265" s="7">
        <v>20</v>
      </c>
      <c r="E265" s="7">
        <v>27</v>
      </c>
      <c r="F265" s="7">
        <v>31</v>
      </c>
      <c r="G265" s="7">
        <v>36</v>
      </c>
      <c r="H265" s="7">
        <v>43</v>
      </c>
      <c r="J265" t="str">
        <f t="shared" si="24"/>
        <v>Portugal</v>
      </c>
      <c r="K265" t="s">
        <v>107</v>
      </c>
      <c r="L265" s="16">
        <f t="shared" si="25"/>
        <v>0.12738853503184713</v>
      </c>
      <c r="M265" s="16">
        <f t="shared" si="26"/>
        <v>0.17197452229299362</v>
      </c>
      <c r="N265" s="16">
        <f t="shared" si="27"/>
        <v>0.19745222929936307</v>
      </c>
      <c r="O265" s="16">
        <f t="shared" si="28"/>
        <v>0.22929936305732485</v>
      </c>
      <c r="P265" s="16">
        <f t="shared" si="29"/>
        <v>0.27388535031847133</v>
      </c>
    </row>
    <row r="266" spans="1:16" x14ac:dyDescent="0.3">
      <c r="A266" s="5" t="s">
        <v>80</v>
      </c>
      <c r="B266" s="5" t="s">
        <v>40</v>
      </c>
      <c r="C266" s="5" t="s">
        <v>41</v>
      </c>
      <c r="D266" s="8">
        <v>391</v>
      </c>
      <c r="E266" s="8">
        <v>362</v>
      </c>
      <c r="F266" s="8">
        <v>332</v>
      </c>
      <c r="G266" s="8">
        <v>313</v>
      </c>
      <c r="H266" s="8">
        <v>282</v>
      </c>
      <c r="J266" t="str">
        <f t="shared" si="24"/>
        <v>Portugal</v>
      </c>
      <c r="K266" t="s">
        <v>108</v>
      </c>
      <c r="L266" s="16">
        <f t="shared" si="25"/>
        <v>0.23273809523809524</v>
      </c>
      <c r="M266" s="16">
        <f t="shared" si="26"/>
        <v>0.21547619047619049</v>
      </c>
      <c r="N266" s="16">
        <f t="shared" si="27"/>
        <v>0.19761904761904761</v>
      </c>
      <c r="O266" s="16">
        <f t="shared" si="28"/>
        <v>0.18630952380952381</v>
      </c>
      <c r="P266" s="16">
        <f t="shared" si="29"/>
        <v>0.16785714285714284</v>
      </c>
    </row>
    <row r="267" spans="1:16" x14ac:dyDescent="0.3">
      <c r="A267" s="5" t="s">
        <v>80</v>
      </c>
      <c r="B267" s="5" t="s">
        <v>42</v>
      </c>
      <c r="C267" s="5" t="s">
        <v>43</v>
      </c>
      <c r="D267" s="7">
        <v>33</v>
      </c>
      <c r="E267" s="7">
        <v>32</v>
      </c>
      <c r="F267" s="7">
        <v>33</v>
      </c>
      <c r="G267" s="7">
        <v>36</v>
      </c>
      <c r="H267" s="7">
        <v>50</v>
      </c>
      <c r="J267" t="str">
        <f t="shared" si="24"/>
        <v>Portugal</v>
      </c>
      <c r="K267" t="s">
        <v>109</v>
      </c>
      <c r="L267" s="16">
        <f t="shared" si="25"/>
        <v>0.17934782608695651</v>
      </c>
      <c r="M267" s="16">
        <f t="shared" si="26"/>
        <v>0.17391304347826086</v>
      </c>
      <c r="N267" s="16">
        <f t="shared" si="27"/>
        <v>0.17934782608695651</v>
      </c>
      <c r="O267" s="16">
        <f t="shared" si="28"/>
        <v>0.19565217391304349</v>
      </c>
      <c r="P267" s="16">
        <f t="shared" si="29"/>
        <v>0.27173913043478259</v>
      </c>
    </row>
    <row r="268" spans="1:16" x14ac:dyDescent="0.3">
      <c r="A268" s="5" t="s">
        <v>80</v>
      </c>
      <c r="B268" s="5" t="s">
        <v>44</v>
      </c>
      <c r="C268" s="5" t="s">
        <v>45</v>
      </c>
      <c r="D268" s="8">
        <v>77</v>
      </c>
      <c r="E268" s="8">
        <v>63</v>
      </c>
      <c r="F268" s="8">
        <v>55</v>
      </c>
      <c r="G268" s="8">
        <v>54</v>
      </c>
      <c r="H268" s="8">
        <v>47</v>
      </c>
      <c r="J268" t="str">
        <f t="shared" ref="J268:J331" si="30">A268</f>
        <v>Portugal</v>
      </c>
      <c r="K268" t="s">
        <v>110</v>
      </c>
      <c r="L268" s="16">
        <f t="shared" si="25"/>
        <v>0.26013513513513514</v>
      </c>
      <c r="M268" s="16">
        <f t="shared" si="26"/>
        <v>0.21283783783783783</v>
      </c>
      <c r="N268" s="16">
        <f t="shared" si="27"/>
        <v>0.1858108108108108</v>
      </c>
      <c r="O268" s="16">
        <f t="shared" si="28"/>
        <v>0.18243243243243243</v>
      </c>
      <c r="P268" s="16">
        <f t="shared" si="29"/>
        <v>0.15878378378378377</v>
      </c>
    </row>
    <row r="269" spans="1:16" x14ac:dyDescent="0.3">
      <c r="A269" s="5" t="s">
        <v>80</v>
      </c>
      <c r="B269" s="5" t="s">
        <v>46</v>
      </c>
      <c r="C269" s="5" t="s">
        <v>47</v>
      </c>
      <c r="D269" s="7">
        <v>84</v>
      </c>
      <c r="E269" s="7">
        <v>118</v>
      </c>
      <c r="F269" s="7">
        <v>142</v>
      </c>
      <c r="G269" s="7">
        <v>148</v>
      </c>
      <c r="H269" s="7">
        <v>159</v>
      </c>
      <c r="J269" t="str">
        <f t="shared" si="30"/>
        <v>Portugal</v>
      </c>
      <c r="K269" t="s">
        <v>111</v>
      </c>
      <c r="L269" s="16">
        <f t="shared" si="25"/>
        <v>0.12903225806451613</v>
      </c>
      <c r="M269" s="16">
        <f t="shared" si="26"/>
        <v>0.18125960061443933</v>
      </c>
      <c r="N269" s="16">
        <f t="shared" si="27"/>
        <v>0.21812596006144394</v>
      </c>
      <c r="O269" s="16">
        <f t="shared" si="28"/>
        <v>0.22734254992319508</v>
      </c>
      <c r="P269" s="16">
        <f t="shared" si="29"/>
        <v>0.24423963133640553</v>
      </c>
    </row>
    <row r="270" spans="1:16" x14ac:dyDescent="0.3">
      <c r="A270" s="5" t="s">
        <v>80</v>
      </c>
      <c r="B270" s="5" t="s">
        <v>48</v>
      </c>
      <c r="C270" s="5" t="s">
        <v>49</v>
      </c>
      <c r="D270" s="8">
        <v>37</v>
      </c>
      <c r="E270" s="8">
        <v>37</v>
      </c>
      <c r="F270" s="8">
        <v>37</v>
      </c>
      <c r="G270" s="8">
        <v>33</v>
      </c>
      <c r="H270" s="8">
        <v>27</v>
      </c>
      <c r="J270" t="str">
        <f t="shared" si="30"/>
        <v>Portugal</v>
      </c>
      <c r="K270" t="s">
        <v>112</v>
      </c>
      <c r="L270" s="16">
        <f t="shared" si="25"/>
        <v>0.21637426900584794</v>
      </c>
      <c r="M270" s="16">
        <f t="shared" si="26"/>
        <v>0.21637426900584794</v>
      </c>
      <c r="N270" s="16">
        <f t="shared" si="27"/>
        <v>0.21637426900584794</v>
      </c>
      <c r="O270" s="16">
        <f t="shared" si="28"/>
        <v>0.19298245614035087</v>
      </c>
      <c r="P270" s="16">
        <f t="shared" si="29"/>
        <v>0.15789473684210525</v>
      </c>
    </row>
    <row r="271" spans="1:16" x14ac:dyDescent="0.3">
      <c r="A271" s="5" t="s">
        <v>80</v>
      </c>
      <c r="B271" s="5" t="s">
        <v>50</v>
      </c>
      <c r="C271" s="5" t="s">
        <v>51</v>
      </c>
      <c r="D271" s="7">
        <v>26</v>
      </c>
      <c r="E271" s="7">
        <v>29</v>
      </c>
      <c r="F271" s="7">
        <v>36</v>
      </c>
      <c r="G271" s="7">
        <v>41</v>
      </c>
      <c r="H271" s="7">
        <v>53</v>
      </c>
      <c r="J271" t="str">
        <f t="shared" si="30"/>
        <v>Portugal</v>
      </c>
      <c r="K271" t="s">
        <v>113</v>
      </c>
      <c r="L271" s="16">
        <f t="shared" si="25"/>
        <v>0.14054054054054055</v>
      </c>
      <c r="M271" s="16">
        <f t="shared" si="26"/>
        <v>0.15675675675675677</v>
      </c>
      <c r="N271" s="16">
        <f t="shared" si="27"/>
        <v>0.19459459459459461</v>
      </c>
      <c r="O271" s="16">
        <f t="shared" si="28"/>
        <v>0.22162162162162163</v>
      </c>
      <c r="P271" s="16">
        <f t="shared" si="29"/>
        <v>0.2864864864864865</v>
      </c>
    </row>
    <row r="272" spans="1:16" x14ac:dyDescent="0.3">
      <c r="A272" s="5" t="s">
        <v>80</v>
      </c>
      <c r="B272" s="5" t="s">
        <v>52</v>
      </c>
      <c r="C272" s="5" t="s">
        <v>53</v>
      </c>
      <c r="D272" s="8">
        <v>6</v>
      </c>
      <c r="E272" s="8">
        <v>11</v>
      </c>
      <c r="F272" s="8">
        <v>16</v>
      </c>
      <c r="G272" s="8">
        <v>22</v>
      </c>
      <c r="H272" s="8">
        <v>34</v>
      </c>
      <c r="J272" t="str">
        <f t="shared" si="30"/>
        <v>Portugal</v>
      </c>
      <c r="K272" t="s">
        <v>114</v>
      </c>
      <c r="L272" s="16">
        <f t="shared" si="25"/>
        <v>6.741573033707865E-2</v>
      </c>
      <c r="M272" s="16">
        <f t="shared" si="26"/>
        <v>0.12359550561797752</v>
      </c>
      <c r="N272" s="16">
        <f t="shared" si="27"/>
        <v>0.1797752808988764</v>
      </c>
      <c r="O272" s="16">
        <f t="shared" si="28"/>
        <v>0.24719101123595505</v>
      </c>
      <c r="P272" s="16">
        <f t="shared" si="29"/>
        <v>0.38202247191011235</v>
      </c>
    </row>
    <row r="273" spans="1:16" x14ac:dyDescent="0.3">
      <c r="A273" s="5" t="s">
        <v>80</v>
      </c>
      <c r="B273" s="5" t="s">
        <v>54</v>
      </c>
      <c r="C273" s="5" t="s">
        <v>55</v>
      </c>
      <c r="D273" s="7">
        <v>62</v>
      </c>
      <c r="E273" s="7">
        <v>75</v>
      </c>
      <c r="F273" s="7">
        <v>78</v>
      </c>
      <c r="G273" s="7">
        <v>87</v>
      </c>
      <c r="H273" s="7">
        <v>105</v>
      </c>
      <c r="J273" t="str">
        <f t="shared" si="30"/>
        <v>Portugal</v>
      </c>
      <c r="K273" t="s">
        <v>115</v>
      </c>
      <c r="L273" s="16">
        <f t="shared" si="25"/>
        <v>0.15233415233415235</v>
      </c>
      <c r="M273" s="16">
        <f t="shared" si="26"/>
        <v>0.18427518427518427</v>
      </c>
      <c r="N273" s="16">
        <f t="shared" si="27"/>
        <v>0.19164619164619165</v>
      </c>
      <c r="O273" s="16">
        <f t="shared" si="28"/>
        <v>0.21375921375921375</v>
      </c>
      <c r="P273" s="16">
        <f t="shared" si="29"/>
        <v>0.25798525798525801</v>
      </c>
    </row>
    <row r="274" spans="1:16" x14ac:dyDescent="0.3">
      <c r="A274" s="5" t="s">
        <v>80</v>
      </c>
      <c r="B274" s="5" t="s">
        <v>56</v>
      </c>
      <c r="C274" s="5" t="s">
        <v>57</v>
      </c>
      <c r="D274" s="8">
        <v>63</v>
      </c>
      <c r="E274" s="8">
        <v>59</v>
      </c>
      <c r="F274" s="8">
        <v>66</v>
      </c>
      <c r="G274" s="8">
        <v>70</v>
      </c>
      <c r="H274" s="8">
        <v>71</v>
      </c>
      <c r="J274" t="str">
        <f t="shared" si="30"/>
        <v>Portugal</v>
      </c>
      <c r="K274" t="s">
        <v>116</v>
      </c>
      <c r="L274" s="16">
        <f t="shared" ref="L274:L337" si="31">D274/(SUM($D274:$H274))</f>
        <v>0.19148936170212766</v>
      </c>
      <c r="M274" s="16">
        <f t="shared" ref="M274:M337" si="32">E274/(SUM($D274:$H274))</f>
        <v>0.17933130699088146</v>
      </c>
      <c r="N274" s="16">
        <f t="shared" ref="N274:N337" si="33">F274/(SUM($D274:$H274))</f>
        <v>0.20060790273556231</v>
      </c>
      <c r="O274" s="16">
        <f t="shared" ref="O274:O337" si="34">G274/(SUM($D274:$H274))</f>
        <v>0.21276595744680851</v>
      </c>
      <c r="P274" s="16">
        <f t="shared" ref="P274:P337" si="35">H274/(SUM($D274:$H274))</f>
        <v>0.21580547112462006</v>
      </c>
    </row>
    <row r="275" spans="1:16" x14ac:dyDescent="0.3">
      <c r="A275" s="5" t="s">
        <v>81</v>
      </c>
      <c r="B275" s="5" t="s">
        <v>34</v>
      </c>
      <c r="C275" s="5" t="s">
        <v>35</v>
      </c>
      <c r="D275" s="7">
        <v>386</v>
      </c>
      <c r="E275" s="7">
        <v>341</v>
      </c>
      <c r="F275" s="7">
        <v>318</v>
      </c>
      <c r="G275" s="7">
        <v>292</v>
      </c>
      <c r="H275" s="7">
        <v>260</v>
      </c>
      <c r="J275" t="str">
        <f t="shared" si="30"/>
        <v>Romania</v>
      </c>
      <c r="K275" t="s">
        <v>105</v>
      </c>
      <c r="L275" s="16">
        <f t="shared" si="31"/>
        <v>0.2417031934877896</v>
      </c>
      <c r="M275" s="16">
        <f t="shared" si="32"/>
        <v>0.21352536005009393</v>
      </c>
      <c r="N275" s="16">
        <f t="shared" si="33"/>
        <v>0.19912335629304947</v>
      </c>
      <c r="O275" s="16">
        <f t="shared" si="34"/>
        <v>0.1828428303068253</v>
      </c>
      <c r="P275" s="16">
        <f t="shared" si="35"/>
        <v>0.1628052598622417</v>
      </c>
    </row>
    <row r="276" spans="1:16" x14ac:dyDescent="0.3">
      <c r="A276" s="5" t="s">
        <v>81</v>
      </c>
      <c r="B276" s="5" t="s">
        <v>36</v>
      </c>
      <c r="C276" s="5" t="s">
        <v>37</v>
      </c>
      <c r="D276" s="8">
        <v>46</v>
      </c>
      <c r="E276" s="8">
        <v>54</v>
      </c>
      <c r="F276" s="8">
        <v>62</v>
      </c>
      <c r="G276" s="8">
        <v>65</v>
      </c>
      <c r="H276" s="8">
        <v>66</v>
      </c>
      <c r="J276" t="str">
        <f t="shared" si="30"/>
        <v>Romania</v>
      </c>
      <c r="K276" t="s">
        <v>106</v>
      </c>
      <c r="L276" s="16">
        <f t="shared" si="31"/>
        <v>0.15699658703071673</v>
      </c>
      <c r="M276" s="16">
        <f t="shared" si="32"/>
        <v>0.18430034129692832</v>
      </c>
      <c r="N276" s="16">
        <f t="shared" si="33"/>
        <v>0.21160409556313994</v>
      </c>
      <c r="O276" s="16">
        <f t="shared" si="34"/>
        <v>0.22184300341296928</v>
      </c>
      <c r="P276" s="16">
        <f t="shared" si="35"/>
        <v>0.22525597269624573</v>
      </c>
    </row>
    <row r="277" spans="1:16" x14ac:dyDescent="0.3">
      <c r="A277" s="5" t="s">
        <v>81</v>
      </c>
      <c r="B277" s="5" t="s">
        <v>38</v>
      </c>
      <c r="C277" s="5" t="s">
        <v>39</v>
      </c>
      <c r="D277" s="7">
        <v>24</v>
      </c>
      <c r="E277" s="7">
        <v>30</v>
      </c>
      <c r="F277" s="7">
        <v>38</v>
      </c>
      <c r="G277" s="7">
        <v>47</v>
      </c>
      <c r="H277" s="7">
        <v>59</v>
      </c>
      <c r="J277" t="str">
        <f t="shared" si="30"/>
        <v>Romania</v>
      </c>
      <c r="K277" t="s">
        <v>107</v>
      </c>
      <c r="L277" s="16">
        <f t="shared" si="31"/>
        <v>0.12121212121212122</v>
      </c>
      <c r="M277" s="16">
        <f t="shared" si="32"/>
        <v>0.15151515151515152</v>
      </c>
      <c r="N277" s="16">
        <f t="shared" si="33"/>
        <v>0.19191919191919191</v>
      </c>
      <c r="O277" s="16">
        <f t="shared" si="34"/>
        <v>0.23737373737373738</v>
      </c>
      <c r="P277" s="16">
        <f t="shared" si="35"/>
        <v>0.29797979797979796</v>
      </c>
    </row>
    <row r="278" spans="1:16" x14ac:dyDescent="0.3">
      <c r="A278" s="5" t="s">
        <v>81</v>
      </c>
      <c r="B278" s="5" t="s">
        <v>40</v>
      </c>
      <c r="C278" s="5" t="s">
        <v>41</v>
      </c>
      <c r="D278" s="8">
        <v>380</v>
      </c>
      <c r="E278" s="8">
        <v>393</v>
      </c>
      <c r="F278" s="8">
        <v>373</v>
      </c>
      <c r="G278" s="8">
        <v>358</v>
      </c>
      <c r="H278" s="8">
        <v>317</v>
      </c>
      <c r="J278" t="str">
        <f t="shared" si="30"/>
        <v>Romania</v>
      </c>
      <c r="K278" t="s">
        <v>108</v>
      </c>
      <c r="L278" s="16">
        <f t="shared" si="31"/>
        <v>0.2086765513454146</v>
      </c>
      <c r="M278" s="16">
        <f t="shared" si="32"/>
        <v>0.21581548599670511</v>
      </c>
      <c r="N278" s="16">
        <f t="shared" si="33"/>
        <v>0.20483250961010435</v>
      </c>
      <c r="O278" s="16">
        <f t="shared" si="34"/>
        <v>0.19659527732015375</v>
      </c>
      <c r="P278" s="16">
        <f t="shared" si="35"/>
        <v>0.17408017572762219</v>
      </c>
    </row>
    <row r="279" spans="1:16" x14ac:dyDescent="0.3">
      <c r="A279" s="5" t="s">
        <v>81</v>
      </c>
      <c r="B279" s="5" t="s">
        <v>42</v>
      </c>
      <c r="C279" s="5" t="s">
        <v>43</v>
      </c>
      <c r="D279" s="7">
        <v>25</v>
      </c>
      <c r="E279" s="7">
        <v>28</v>
      </c>
      <c r="F279" s="7">
        <v>32</v>
      </c>
      <c r="G279" s="7">
        <v>32</v>
      </c>
      <c r="H279" s="7">
        <v>38</v>
      </c>
      <c r="J279" t="str">
        <f t="shared" si="30"/>
        <v>Romania</v>
      </c>
      <c r="K279" t="s">
        <v>109</v>
      </c>
      <c r="L279" s="16">
        <f t="shared" si="31"/>
        <v>0.16129032258064516</v>
      </c>
      <c r="M279" s="16">
        <f t="shared" si="32"/>
        <v>0.18064516129032257</v>
      </c>
      <c r="N279" s="16">
        <f t="shared" si="33"/>
        <v>0.20645161290322581</v>
      </c>
      <c r="O279" s="16">
        <f t="shared" si="34"/>
        <v>0.20645161290322581</v>
      </c>
      <c r="P279" s="16">
        <f t="shared" si="35"/>
        <v>0.24516129032258063</v>
      </c>
    </row>
    <row r="280" spans="1:16" x14ac:dyDescent="0.3">
      <c r="A280" s="5" t="s">
        <v>81</v>
      </c>
      <c r="B280" s="5" t="s">
        <v>44</v>
      </c>
      <c r="C280" s="5" t="s">
        <v>45</v>
      </c>
      <c r="D280" s="8">
        <v>45</v>
      </c>
      <c r="E280" s="8">
        <v>41</v>
      </c>
      <c r="F280" s="8">
        <v>40</v>
      </c>
      <c r="G280" s="8">
        <v>35</v>
      </c>
      <c r="H280" s="8">
        <v>37</v>
      </c>
      <c r="J280" t="str">
        <f t="shared" si="30"/>
        <v>Romania</v>
      </c>
      <c r="K280" t="s">
        <v>110</v>
      </c>
      <c r="L280" s="16">
        <f t="shared" si="31"/>
        <v>0.22727272727272727</v>
      </c>
      <c r="M280" s="16">
        <f t="shared" si="32"/>
        <v>0.20707070707070707</v>
      </c>
      <c r="N280" s="16">
        <f t="shared" si="33"/>
        <v>0.20202020202020202</v>
      </c>
      <c r="O280" s="16">
        <f t="shared" si="34"/>
        <v>0.17676767676767677</v>
      </c>
      <c r="P280" s="16">
        <f t="shared" si="35"/>
        <v>0.18686868686868688</v>
      </c>
    </row>
    <row r="281" spans="1:16" x14ac:dyDescent="0.3">
      <c r="A281" s="5" t="s">
        <v>81</v>
      </c>
      <c r="B281" s="5" t="s">
        <v>46</v>
      </c>
      <c r="C281" s="5" t="s">
        <v>47</v>
      </c>
      <c r="D281" s="7">
        <v>14</v>
      </c>
      <c r="E281" s="7">
        <v>24</v>
      </c>
      <c r="F281" s="7">
        <v>37</v>
      </c>
      <c r="G281" s="7">
        <v>56</v>
      </c>
      <c r="H281" s="7">
        <v>71</v>
      </c>
      <c r="J281" t="str">
        <f t="shared" si="30"/>
        <v>Romania</v>
      </c>
      <c r="K281" t="s">
        <v>111</v>
      </c>
      <c r="L281" s="16">
        <f t="shared" si="31"/>
        <v>6.9306930693069313E-2</v>
      </c>
      <c r="M281" s="16">
        <f t="shared" si="32"/>
        <v>0.11881188118811881</v>
      </c>
      <c r="N281" s="16">
        <f t="shared" si="33"/>
        <v>0.18316831683168316</v>
      </c>
      <c r="O281" s="16">
        <f t="shared" si="34"/>
        <v>0.27722772277227725</v>
      </c>
      <c r="P281" s="16">
        <f t="shared" si="35"/>
        <v>0.35148514851485146</v>
      </c>
    </row>
    <row r="282" spans="1:16" x14ac:dyDescent="0.3">
      <c r="A282" s="5" t="s">
        <v>81</v>
      </c>
      <c r="B282" s="5" t="s">
        <v>48</v>
      </c>
      <c r="C282" s="5" t="s">
        <v>49</v>
      </c>
      <c r="D282" s="8">
        <v>32</v>
      </c>
      <c r="E282" s="8">
        <v>35</v>
      </c>
      <c r="F282" s="8">
        <v>40</v>
      </c>
      <c r="G282" s="8">
        <v>42</v>
      </c>
      <c r="H282" s="8">
        <v>42</v>
      </c>
      <c r="J282" t="str">
        <f t="shared" si="30"/>
        <v>Romania</v>
      </c>
      <c r="K282" t="s">
        <v>112</v>
      </c>
      <c r="L282" s="16">
        <f t="shared" si="31"/>
        <v>0.16753926701570682</v>
      </c>
      <c r="M282" s="16">
        <f t="shared" si="32"/>
        <v>0.18324607329842932</v>
      </c>
      <c r="N282" s="16">
        <f t="shared" si="33"/>
        <v>0.20942408376963351</v>
      </c>
      <c r="O282" s="16">
        <f t="shared" si="34"/>
        <v>0.21989528795811519</v>
      </c>
      <c r="P282" s="16">
        <f t="shared" si="35"/>
        <v>0.21989528795811519</v>
      </c>
    </row>
    <row r="283" spans="1:16" x14ac:dyDescent="0.3">
      <c r="A283" s="5" t="s">
        <v>81</v>
      </c>
      <c r="B283" s="5" t="s">
        <v>50</v>
      </c>
      <c r="C283" s="5" t="s">
        <v>51</v>
      </c>
      <c r="D283" s="7">
        <v>26</v>
      </c>
      <c r="E283" s="7">
        <v>23</v>
      </c>
      <c r="F283" s="7">
        <v>23</v>
      </c>
      <c r="G283" s="7">
        <v>27</v>
      </c>
      <c r="H283" s="7">
        <v>43</v>
      </c>
      <c r="J283" t="str">
        <f t="shared" si="30"/>
        <v>Romania</v>
      </c>
      <c r="K283" t="s">
        <v>113</v>
      </c>
      <c r="L283" s="16">
        <f t="shared" si="31"/>
        <v>0.18309859154929578</v>
      </c>
      <c r="M283" s="16">
        <f t="shared" si="32"/>
        <v>0.1619718309859155</v>
      </c>
      <c r="N283" s="16">
        <f t="shared" si="33"/>
        <v>0.1619718309859155</v>
      </c>
      <c r="O283" s="16">
        <f t="shared" si="34"/>
        <v>0.19014084507042253</v>
      </c>
      <c r="P283" s="16">
        <f t="shared" si="35"/>
        <v>0.30281690140845069</v>
      </c>
    </row>
    <row r="284" spans="1:16" x14ac:dyDescent="0.3">
      <c r="A284" s="5" t="s">
        <v>81</v>
      </c>
      <c r="B284" s="5" t="s">
        <v>52</v>
      </c>
      <c r="C284" s="5" t="s">
        <v>53</v>
      </c>
      <c r="D284" s="8">
        <v>1</v>
      </c>
      <c r="E284" s="8">
        <v>1</v>
      </c>
      <c r="F284" s="8">
        <v>2</v>
      </c>
      <c r="G284" s="8">
        <v>3</v>
      </c>
      <c r="H284" s="8">
        <v>6</v>
      </c>
      <c r="J284" t="str">
        <f t="shared" si="30"/>
        <v>Romania</v>
      </c>
      <c r="K284" t="s">
        <v>114</v>
      </c>
      <c r="L284" s="16">
        <f t="shared" si="31"/>
        <v>7.6923076923076927E-2</v>
      </c>
      <c r="M284" s="16">
        <f t="shared" si="32"/>
        <v>7.6923076923076927E-2</v>
      </c>
      <c r="N284" s="16">
        <f t="shared" si="33"/>
        <v>0.15384615384615385</v>
      </c>
      <c r="O284" s="16">
        <f t="shared" si="34"/>
        <v>0.23076923076923078</v>
      </c>
      <c r="P284" s="16">
        <f t="shared" si="35"/>
        <v>0.46153846153846156</v>
      </c>
    </row>
    <row r="285" spans="1:16" x14ac:dyDescent="0.3">
      <c r="A285" s="5" t="s">
        <v>81</v>
      </c>
      <c r="B285" s="5" t="s">
        <v>54</v>
      </c>
      <c r="C285" s="5" t="s">
        <v>55</v>
      </c>
      <c r="D285" s="7">
        <v>4</v>
      </c>
      <c r="E285" s="7">
        <v>6</v>
      </c>
      <c r="F285" s="7">
        <v>7</v>
      </c>
      <c r="G285" s="7">
        <v>10</v>
      </c>
      <c r="H285" s="7">
        <v>18</v>
      </c>
      <c r="J285" t="str">
        <f t="shared" si="30"/>
        <v>Romania</v>
      </c>
      <c r="K285" t="s">
        <v>115</v>
      </c>
      <c r="L285" s="16">
        <f t="shared" si="31"/>
        <v>8.8888888888888892E-2</v>
      </c>
      <c r="M285" s="16">
        <f t="shared" si="32"/>
        <v>0.13333333333333333</v>
      </c>
      <c r="N285" s="16">
        <f t="shared" si="33"/>
        <v>0.15555555555555556</v>
      </c>
      <c r="O285" s="16">
        <f t="shared" si="34"/>
        <v>0.22222222222222221</v>
      </c>
      <c r="P285" s="16">
        <f t="shared" si="35"/>
        <v>0.4</v>
      </c>
    </row>
    <row r="286" spans="1:16" x14ac:dyDescent="0.3">
      <c r="A286" s="5" t="s">
        <v>81</v>
      </c>
      <c r="B286" s="5" t="s">
        <v>56</v>
      </c>
      <c r="C286" s="5" t="s">
        <v>57</v>
      </c>
      <c r="D286" s="8">
        <v>17</v>
      </c>
      <c r="E286" s="8">
        <v>24</v>
      </c>
      <c r="F286" s="8">
        <v>28</v>
      </c>
      <c r="G286" s="8">
        <v>32</v>
      </c>
      <c r="H286" s="8">
        <v>42</v>
      </c>
      <c r="J286" t="str">
        <f t="shared" si="30"/>
        <v>Romania</v>
      </c>
      <c r="K286" t="s">
        <v>116</v>
      </c>
      <c r="L286" s="16">
        <f t="shared" si="31"/>
        <v>0.11888111888111888</v>
      </c>
      <c r="M286" s="16">
        <f t="shared" si="32"/>
        <v>0.16783216783216784</v>
      </c>
      <c r="N286" s="16">
        <f t="shared" si="33"/>
        <v>0.19580419580419581</v>
      </c>
      <c r="O286" s="16">
        <f t="shared" si="34"/>
        <v>0.22377622377622378</v>
      </c>
      <c r="P286" s="16">
        <f t="shared" si="35"/>
        <v>0.2937062937062937</v>
      </c>
    </row>
    <row r="287" spans="1:16" x14ac:dyDescent="0.3">
      <c r="A287" s="5" t="s">
        <v>82</v>
      </c>
      <c r="B287" s="5" t="s">
        <v>34</v>
      </c>
      <c r="C287" s="5" t="s">
        <v>35</v>
      </c>
      <c r="D287" s="7">
        <v>177</v>
      </c>
      <c r="E287" s="7">
        <v>164</v>
      </c>
      <c r="F287" s="7">
        <v>145</v>
      </c>
      <c r="G287" s="7">
        <v>147</v>
      </c>
      <c r="H287" s="7">
        <v>122</v>
      </c>
      <c r="J287" t="str">
        <f t="shared" si="30"/>
        <v>Slovenia</v>
      </c>
      <c r="K287" t="s">
        <v>105</v>
      </c>
      <c r="L287" s="16">
        <f t="shared" si="31"/>
        <v>0.23443708609271524</v>
      </c>
      <c r="M287" s="16">
        <f t="shared" si="32"/>
        <v>0.21721854304635763</v>
      </c>
      <c r="N287" s="16">
        <f t="shared" si="33"/>
        <v>0.19205298013245034</v>
      </c>
      <c r="O287" s="16">
        <f t="shared" si="34"/>
        <v>0.19470198675496689</v>
      </c>
      <c r="P287" s="16">
        <f t="shared" si="35"/>
        <v>0.16158940397350993</v>
      </c>
    </row>
    <row r="288" spans="1:16" x14ac:dyDescent="0.3">
      <c r="A288" s="5" t="s">
        <v>82</v>
      </c>
      <c r="B288" s="5" t="s">
        <v>36</v>
      </c>
      <c r="C288" s="5" t="s">
        <v>37</v>
      </c>
      <c r="D288" s="8">
        <v>23</v>
      </c>
      <c r="E288" s="8">
        <v>23</v>
      </c>
      <c r="F288" s="8">
        <v>19</v>
      </c>
      <c r="G288" s="8">
        <v>19</v>
      </c>
      <c r="H288" s="8">
        <v>14</v>
      </c>
      <c r="J288" t="str">
        <f t="shared" si="30"/>
        <v>Slovenia</v>
      </c>
      <c r="K288" t="s">
        <v>106</v>
      </c>
      <c r="L288" s="16">
        <f t="shared" si="31"/>
        <v>0.23469387755102042</v>
      </c>
      <c r="M288" s="16">
        <f t="shared" si="32"/>
        <v>0.23469387755102042</v>
      </c>
      <c r="N288" s="16">
        <f t="shared" si="33"/>
        <v>0.19387755102040816</v>
      </c>
      <c r="O288" s="16">
        <f t="shared" si="34"/>
        <v>0.19387755102040816</v>
      </c>
      <c r="P288" s="16">
        <f t="shared" si="35"/>
        <v>0.14285714285714285</v>
      </c>
    </row>
    <row r="289" spans="1:16" x14ac:dyDescent="0.3">
      <c r="A289" s="5" t="s">
        <v>82</v>
      </c>
      <c r="B289" s="5" t="s">
        <v>38</v>
      </c>
      <c r="C289" s="5" t="s">
        <v>39</v>
      </c>
      <c r="D289" s="7">
        <v>35</v>
      </c>
      <c r="E289" s="7">
        <v>47</v>
      </c>
      <c r="F289" s="7">
        <v>51</v>
      </c>
      <c r="G289" s="7">
        <v>58</v>
      </c>
      <c r="H289" s="7">
        <v>71</v>
      </c>
      <c r="J289" t="str">
        <f t="shared" si="30"/>
        <v>Slovenia</v>
      </c>
      <c r="K289" t="s">
        <v>107</v>
      </c>
      <c r="L289" s="16">
        <f t="shared" si="31"/>
        <v>0.13358778625954199</v>
      </c>
      <c r="M289" s="16">
        <f t="shared" si="32"/>
        <v>0.17938931297709923</v>
      </c>
      <c r="N289" s="16">
        <f t="shared" si="33"/>
        <v>0.19465648854961831</v>
      </c>
      <c r="O289" s="16">
        <f t="shared" si="34"/>
        <v>0.22137404580152673</v>
      </c>
      <c r="P289" s="16">
        <f t="shared" si="35"/>
        <v>0.27099236641221375</v>
      </c>
    </row>
    <row r="290" spans="1:16" x14ac:dyDescent="0.3">
      <c r="A290" s="5" t="s">
        <v>82</v>
      </c>
      <c r="B290" s="5" t="s">
        <v>40</v>
      </c>
      <c r="C290" s="5" t="s">
        <v>41</v>
      </c>
      <c r="D290" s="8">
        <v>392</v>
      </c>
      <c r="E290" s="8">
        <v>321</v>
      </c>
      <c r="F290" s="8">
        <v>279</v>
      </c>
      <c r="G290" s="8">
        <v>236</v>
      </c>
      <c r="H290" s="8">
        <v>205</v>
      </c>
      <c r="J290" t="str">
        <f t="shared" si="30"/>
        <v>Slovenia</v>
      </c>
      <c r="K290" t="s">
        <v>108</v>
      </c>
      <c r="L290" s="16">
        <f t="shared" si="31"/>
        <v>0.27355198883461268</v>
      </c>
      <c r="M290" s="16">
        <f t="shared" si="32"/>
        <v>0.22400558269364967</v>
      </c>
      <c r="N290" s="16">
        <f t="shared" si="33"/>
        <v>0.19469644103279832</v>
      </c>
      <c r="O290" s="16">
        <f t="shared" si="34"/>
        <v>0.16468946266573622</v>
      </c>
      <c r="P290" s="16">
        <f t="shared" si="35"/>
        <v>0.14305652477320308</v>
      </c>
    </row>
    <row r="291" spans="1:16" x14ac:dyDescent="0.3">
      <c r="A291" s="5" t="s">
        <v>82</v>
      </c>
      <c r="B291" s="5" t="s">
        <v>42</v>
      </c>
      <c r="C291" s="5" t="s">
        <v>43</v>
      </c>
      <c r="D291" s="7">
        <v>31</v>
      </c>
      <c r="E291" s="7">
        <v>46</v>
      </c>
      <c r="F291" s="7">
        <v>43</v>
      </c>
      <c r="G291" s="7">
        <v>45</v>
      </c>
      <c r="H291" s="7">
        <v>41</v>
      </c>
      <c r="J291" t="str">
        <f t="shared" si="30"/>
        <v>Slovenia</v>
      </c>
      <c r="K291" t="s">
        <v>109</v>
      </c>
      <c r="L291" s="16">
        <f t="shared" si="31"/>
        <v>0.15048543689320387</v>
      </c>
      <c r="M291" s="16">
        <f t="shared" si="32"/>
        <v>0.22330097087378642</v>
      </c>
      <c r="N291" s="16">
        <f t="shared" si="33"/>
        <v>0.20873786407766989</v>
      </c>
      <c r="O291" s="16">
        <f t="shared" si="34"/>
        <v>0.21844660194174756</v>
      </c>
      <c r="P291" s="16">
        <f t="shared" si="35"/>
        <v>0.19902912621359223</v>
      </c>
    </row>
    <row r="292" spans="1:16" x14ac:dyDescent="0.3">
      <c r="A292" s="5" t="s">
        <v>82</v>
      </c>
      <c r="B292" s="5" t="s">
        <v>44</v>
      </c>
      <c r="C292" s="5" t="s">
        <v>45</v>
      </c>
      <c r="D292" s="8">
        <v>21</v>
      </c>
      <c r="E292" s="8">
        <v>21</v>
      </c>
      <c r="F292" s="8">
        <v>25</v>
      </c>
      <c r="G292" s="8">
        <v>18</v>
      </c>
      <c r="H292" s="8">
        <v>22</v>
      </c>
      <c r="J292" t="str">
        <f t="shared" si="30"/>
        <v>Slovenia</v>
      </c>
      <c r="K292" t="s">
        <v>110</v>
      </c>
      <c r="L292" s="16">
        <f t="shared" si="31"/>
        <v>0.19626168224299065</v>
      </c>
      <c r="M292" s="16">
        <f t="shared" si="32"/>
        <v>0.19626168224299065</v>
      </c>
      <c r="N292" s="16">
        <f t="shared" si="33"/>
        <v>0.23364485981308411</v>
      </c>
      <c r="O292" s="16">
        <f t="shared" si="34"/>
        <v>0.16822429906542055</v>
      </c>
      <c r="P292" s="16">
        <f t="shared" si="35"/>
        <v>0.20560747663551401</v>
      </c>
    </row>
    <row r="293" spans="1:16" x14ac:dyDescent="0.3">
      <c r="A293" s="5" t="s">
        <v>82</v>
      </c>
      <c r="B293" s="5" t="s">
        <v>46</v>
      </c>
      <c r="C293" s="5" t="s">
        <v>47</v>
      </c>
      <c r="D293" s="7">
        <v>102</v>
      </c>
      <c r="E293" s="7">
        <v>129</v>
      </c>
      <c r="F293" s="7">
        <v>170</v>
      </c>
      <c r="G293" s="7">
        <v>189</v>
      </c>
      <c r="H293" s="7">
        <v>216</v>
      </c>
      <c r="J293" t="str">
        <f t="shared" si="30"/>
        <v>Slovenia</v>
      </c>
      <c r="K293" t="s">
        <v>111</v>
      </c>
      <c r="L293" s="16">
        <f t="shared" si="31"/>
        <v>0.12655086848635236</v>
      </c>
      <c r="M293" s="16">
        <f t="shared" si="32"/>
        <v>0.16004962779156329</v>
      </c>
      <c r="N293" s="16">
        <f t="shared" si="33"/>
        <v>0.21091811414392059</v>
      </c>
      <c r="O293" s="16">
        <f t="shared" si="34"/>
        <v>0.23449131513647642</v>
      </c>
      <c r="P293" s="16">
        <f t="shared" si="35"/>
        <v>0.26799007444168732</v>
      </c>
    </row>
    <row r="294" spans="1:16" x14ac:dyDescent="0.3">
      <c r="A294" s="5" t="s">
        <v>82</v>
      </c>
      <c r="B294" s="5" t="s">
        <v>48</v>
      </c>
      <c r="C294" s="5" t="s">
        <v>49</v>
      </c>
      <c r="D294" s="8">
        <v>52</v>
      </c>
      <c r="E294" s="8">
        <v>51</v>
      </c>
      <c r="F294" s="8">
        <v>50</v>
      </c>
      <c r="G294" s="8">
        <v>49</v>
      </c>
      <c r="H294" s="8">
        <v>44</v>
      </c>
      <c r="J294" t="str">
        <f t="shared" si="30"/>
        <v>Slovenia</v>
      </c>
      <c r="K294" t="s">
        <v>112</v>
      </c>
      <c r="L294" s="16">
        <f t="shared" si="31"/>
        <v>0.21138211382113822</v>
      </c>
      <c r="M294" s="16">
        <f t="shared" si="32"/>
        <v>0.2073170731707317</v>
      </c>
      <c r="N294" s="16">
        <f t="shared" si="33"/>
        <v>0.2032520325203252</v>
      </c>
      <c r="O294" s="16">
        <f t="shared" si="34"/>
        <v>0.1991869918699187</v>
      </c>
      <c r="P294" s="16">
        <f t="shared" si="35"/>
        <v>0.17886178861788618</v>
      </c>
    </row>
    <row r="295" spans="1:16" x14ac:dyDescent="0.3">
      <c r="A295" s="5" t="s">
        <v>82</v>
      </c>
      <c r="B295" s="5" t="s">
        <v>50</v>
      </c>
      <c r="C295" s="5" t="s">
        <v>51</v>
      </c>
      <c r="D295" s="7">
        <v>59</v>
      </c>
      <c r="E295" s="7">
        <v>61</v>
      </c>
      <c r="F295" s="7">
        <v>69</v>
      </c>
      <c r="G295" s="7">
        <v>73</v>
      </c>
      <c r="H295" s="7">
        <v>81</v>
      </c>
      <c r="J295" t="str">
        <f t="shared" si="30"/>
        <v>Slovenia</v>
      </c>
      <c r="K295" t="s">
        <v>113</v>
      </c>
      <c r="L295" s="16">
        <f t="shared" si="31"/>
        <v>0.17201166180758018</v>
      </c>
      <c r="M295" s="16">
        <f t="shared" si="32"/>
        <v>0.17784256559766765</v>
      </c>
      <c r="N295" s="16">
        <f t="shared" si="33"/>
        <v>0.20116618075801748</v>
      </c>
      <c r="O295" s="16">
        <f t="shared" si="34"/>
        <v>0.21282798833819241</v>
      </c>
      <c r="P295" s="16">
        <f t="shared" si="35"/>
        <v>0.23615160349854228</v>
      </c>
    </row>
    <row r="296" spans="1:16" x14ac:dyDescent="0.3">
      <c r="A296" s="5" t="s">
        <v>82</v>
      </c>
      <c r="B296" s="5" t="s">
        <v>52</v>
      </c>
      <c r="C296" s="5" t="s">
        <v>53</v>
      </c>
      <c r="D296" s="8">
        <v>2</v>
      </c>
      <c r="E296" s="8">
        <v>5</v>
      </c>
      <c r="F296" s="8">
        <v>7</v>
      </c>
      <c r="G296" s="8">
        <v>12</v>
      </c>
      <c r="H296" s="8">
        <v>11</v>
      </c>
      <c r="J296" t="str">
        <f t="shared" si="30"/>
        <v>Slovenia</v>
      </c>
      <c r="K296" t="s">
        <v>114</v>
      </c>
      <c r="L296" s="16">
        <f t="shared" si="31"/>
        <v>5.4054054054054057E-2</v>
      </c>
      <c r="M296" s="16">
        <f t="shared" si="32"/>
        <v>0.13513513513513514</v>
      </c>
      <c r="N296" s="16">
        <f t="shared" si="33"/>
        <v>0.1891891891891892</v>
      </c>
      <c r="O296" s="16">
        <f t="shared" si="34"/>
        <v>0.32432432432432434</v>
      </c>
      <c r="P296" s="16">
        <f t="shared" si="35"/>
        <v>0.29729729729729731</v>
      </c>
    </row>
    <row r="297" spans="1:16" x14ac:dyDescent="0.3">
      <c r="A297" s="5" t="s">
        <v>82</v>
      </c>
      <c r="B297" s="5" t="s">
        <v>54</v>
      </c>
      <c r="C297" s="5" t="s">
        <v>55</v>
      </c>
      <c r="D297" s="7">
        <v>23</v>
      </c>
      <c r="E297" s="7">
        <v>32</v>
      </c>
      <c r="F297" s="7">
        <v>40</v>
      </c>
      <c r="G297" s="7">
        <v>53</v>
      </c>
      <c r="H297" s="7">
        <v>66</v>
      </c>
      <c r="J297" t="str">
        <f t="shared" si="30"/>
        <v>Slovenia</v>
      </c>
      <c r="K297" t="s">
        <v>115</v>
      </c>
      <c r="L297" s="16">
        <f t="shared" si="31"/>
        <v>0.10747663551401869</v>
      </c>
      <c r="M297" s="16">
        <f t="shared" si="32"/>
        <v>0.14953271028037382</v>
      </c>
      <c r="N297" s="16">
        <f t="shared" si="33"/>
        <v>0.18691588785046728</v>
      </c>
      <c r="O297" s="16">
        <f t="shared" si="34"/>
        <v>0.24766355140186916</v>
      </c>
      <c r="P297" s="16">
        <f t="shared" si="35"/>
        <v>0.30841121495327101</v>
      </c>
    </row>
    <row r="298" spans="1:16" x14ac:dyDescent="0.3">
      <c r="A298" s="5" t="s">
        <v>82</v>
      </c>
      <c r="B298" s="5" t="s">
        <v>56</v>
      </c>
      <c r="C298" s="5" t="s">
        <v>57</v>
      </c>
      <c r="D298" s="8">
        <v>82</v>
      </c>
      <c r="E298" s="8">
        <v>101</v>
      </c>
      <c r="F298" s="8">
        <v>101</v>
      </c>
      <c r="G298" s="8">
        <v>102</v>
      </c>
      <c r="H298" s="8">
        <v>105</v>
      </c>
      <c r="J298" t="str">
        <f t="shared" si="30"/>
        <v>Slovenia</v>
      </c>
      <c r="K298" t="s">
        <v>116</v>
      </c>
      <c r="L298" s="16">
        <f t="shared" si="31"/>
        <v>0.16700610997963339</v>
      </c>
      <c r="M298" s="16">
        <f t="shared" si="32"/>
        <v>0.20570264765784113</v>
      </c>
      <c r="N298" s="16">
        <f t="shared" si="33"/>
        <v>0.20570264765784113</v>
      </c>
      <c r="O298" s="16">
        <f t="shared" si="34"/>
        <v>0.20773930753564154</v>
      </c>
      <c r="P298" s="16">
        <f t="shared" si="35"/>
        <v>0.21384928716904278</v>
      </c>
    </row>
    <row r="299" spans="1:16" x14ac:dyDescent="0.3">
      <c r="A299" s="5" t="s">
        <v>83</v>
      </c>
      <c r="B299" s="5" t="s">
        <v>34</v>
      </c>
      <c r="C299" s="5" t="s">
        <v>35</v>
      </c>
      <c r="D299" s="7">
        <v>227</v>
      </c>
      <c r="E299" s="7">
        <v>224</v>
      </c>
      <c r="F299" s="7">
        <v>205</v>
      </c>
      <c r="G299" s="7">
        <v>192</v>
      </c>
      <c r="H299" s="7">
        <v>164</v>
      </c>
      <c r="J299" t="str">
        <f t="shared" si="30"/>
        <v>Slovakia</v>
      </c>
      <c r="K299" t="s">
        <v>105</v>
      </c>
      <c r="L299" s="16">
        <f t="shared" si="31"/>
        <v>0.22430830039525693</v>
      </c>
      <c r="M299" s="16">
        <f t="shared" si="32"/>
        <v>0.22134387351778656</v>
      </c>
      <c r="N299" s="16">
        <f t="shared" si="33"/>
        <v>0.2025691699604743</v>
      </c>
      <c r="O299" s="16">
        <f t="shared" si="34"/>
        <v>0.18972332015810275</v>
      </c>
      <c r="P299" s="16">
        <f t="shared" si="35"/>
        <v>0.16205533596837945</v>
      </c>
    </row>
    <row r="300" spans="1:16" x14ac:dyDescent="0.3">
      <c r="A300" s="5" t="s">
        <v>83</v>
      </c>
      <c r="B300" s="5" t="s">
        <v>36</v>
      </c>
      <c r="C300" s="5" t="s">
        <v>37</v>
      </c>
      <c r="D300" s="8">
        <v>28</v>
      </c>
      <c r="E300" s="8">
        <v>28</v>
      </c>
      <c r="F300" s="8">
        <v>26</v>
      </c>
      <c r="G300" s="8">
        <v>27</v>
      </c>
      <c r="H300" s="8">
        <v>27</v>
      </c>
      <c r="J300" t="str">
        <f t="shared" si="30"/>
        <v>Slovakia</v>
      </c>
      <c r="K300" t="s">
        <v>106</v>
      </c>
      <c r="L300" s="16">
        <f t="shared" si="31"/>
        <v>0.20588235294117646</v>
      </c>
      <c r="M300" s="16">
        <f t="shared" si="32"/>
        <v>0.20588235294117646</v>
      </c>
      <c r="N300" s="16">
        <f t="shared" si="33"/>
        <v>0.19117647058823528</v>
      </c>
      <c r="O300" s="16">
        <f t="shared" si="34"/>
        <v>0.19852941176470587</v>
      </c>
      <c r="P300" s="16">
        <f t="shared" si="35"/>
        <v>0.19852941176470587</v>
      </c>
    </row>
    <row r="301" spans="1:16" x14ac:dyDescent="0.3">
      <c r="A301" s="5" t="s">
        <v>83</v>
      </c>
      <c r="B301" s="5" t="s">
        <v>38</v>
      </c>
      <c r="C301" s="5" t="s">
        <v>39</v>
      </c>
      <c r="D301" s="7">
        <v>28</v>
      </c>
      <c r="E301" s="7">
        <v>36</v>
      </c>
      <c r="F301" s="7">
        <v>41</v>
      </c>
      <c r="G301" s="7">
        <v>50</v>
      </c>
      <c r="H301" s="7">
        <v>61</v>
      </c>
      <c r="J301" t="str">
        <f t="shared" si="30"/>
        <v>Slovakia</v>
      </c>
      <c r="K301" t="s">
        <v>107</v>
      </c>
      <c r="L301" s="16">
        <f t="shared" si="31"/>
        <v>0.12962962962962962</v>
      </c>
      <c r="M301" s="16">
        <f t="shared" si="32"/>
        <v>0.16666666666666666</v>
      </c>
      <c r="N301" s="16">
        <f t="shared" si="33"/>
        <v>0.18981481481481483</v>
      </c>
      <c r="O301" s="16">
        <f t="shared" si="34"/>
        <v>0.23148148148148148</v>
      </c>
      <c r="P301" s="16">
        <f t="shared" si="35"/>
        <v>0.28240740740740738</v>
      </c>
    </row>
    <row r="302" spans="1:16" x14ac:dyDescent="0.3">
      <c r="A302" s="5" t="s">
        <v>83</v>
      </c>
      <c r="B302" s="5" t="s">
        <v>40</v>
      </c>
      <c r="C302" s="5" t="s">
        <v>41</v>
      </c>
      <c r="D302" s="8">
        <v>428</v>
      </c>
      <c r="E302" s="8">
        <v>366</v>
      </c>
      <c r="F302" s="8">
        <v>315</v>
      </c>
      <c r="G302" s="8">
        <v>294</v>
      </c>
      <c r="H302" s="8">
        <v>268</v>
      </c>
      <c r="J302" t="str">
        <f t="shared" si="30"/>
        <v>Slovakia</v>
      </c>
      <c r="K302" t="s">
        <v>108</v>
      </c>
      <c r="L302" s="16">
        <f t="shared" si="31"/>
        <v>0.2561340514661879</v>
      </c>
      <c r="M302" s="16">
        <f t="shared" si="32"/>
        <v>0.21903052064631956</v>
      </c>
      <c r="N302" s="16">
        <f t="shared" si="33"/>
        <v>0.18850987432675045</v>
      </c>
      <c r="O302" s="16">
        <f t="shared" si="34"/>
        <v>0.17594254937163376</v>
      </c>
      <c r="P302" s="16">
        <f t="shared" si="35"/>
        <v>0.16038300418910831</v>
      </c>
    </row>
    <row r="303" spans="1:16" x14ac:dyDescent="0.3">
      <c r="A303" s="5" t="s">
        <v>83</v>
      </c>
      <c r="B303" s="5" t="s">
        <v>42</v>
      </c>
      <c r="C303" s="5" t="s">
        <v>43</v>
      </c>
      <c r="D303" s="7">
        <v>40</v>
      </c>
      <c r="E303" s="7">
        <v>47</v>
      </c>
      <c r="F303" s="7">
        <v>48</v>
      </c>
      <c r="G303" s="7">
        <v>47</v>
      </c>
      <c r="H303" s="7">
        <v>49</v>
      </c>
      <c r="J303" t="str">
        <f t="shared" si="30"/>
        <v>Slovakia</v>
      </c>
      <c r="K303" t="s">
        <v>109</v>
      </c>
      <c r="L303" s="16">
        <f t="shared" si="31"/>
        <v>0.17316017316017315</v>
      </c>
      <c r="M303" s="16">
        <f t="shared" si="32"/>
        <v>0.20346320346320346</v>
      </c>
      <c r="N303" s="16">
        <f t="shared" si="33"/>
        <v>0.20779220779220781</v>
      </c>
      <c r="O303" s="16">
        <f t="shared" si="34"/>
        <v>0.20346320346320346</v>
      </c>
      <c r="P303" s="16">
        <f t="shared" si="35"/>
        <v>0.21212121212121213</v>
      </c>
    </row>
    <row r="304" spans="1:16" x14ac:dyDescent="0.3">
      <c r="A304" s="5" t="s">
        <v>83</v>
      </c>
      <c r="B304" s="5" t="s">
        <v>44</v>
      </c>
      <c r="C304" s="5" t="s">
        <v>45</v>
      </c>
      <c r="D304" s="8">
        <v>38</v>
      </c>
      <c r="E304" s="8">
        <v>36</v>
      </c>
      <c r="F304" s="8">
        <v>28</v>
      </c>
      <c r="G304" s="8">
        <v>22</v>
      </c>
      <c r="H304" s="8">
        <v>23</v>
      </c>
      <c r="J304" t="str">
        <f t="shared" si="30"/>
        <v>Slovakia</v>
      </c>
      <c r="K304" t="s">
        <v>110</v>
      </c>
      <c r="L304" s="16">
        <f t="shared" si="31"/>
        <v>0.25850340136054423</v>
      </c>
      <c r="M304" s="16">
        <f t="shared" si="32"/>
        <v>0.24489795918367346</v>
      </c>
      <c r="N304" s="16">
        <f t="shared" si="33"/>
        <v>0.19047619047619047</v>
      </c>
      <c r="O304" s="16">
        <f t="shared" si="34"/>
        <v>0.14965986394557823</v>
      </c>
      <c r="P304" s="16">
        <f t="shared" si="35"/>
        <v>0.15646258503401361</v>
      </c>
    </row>
    <row r="305" spans="1:16" x14ac:dyDescent="0.3">
      <c r="A305" s="5" t="s">
        <v>83</v>
      </c>
      <c r="B305" s="5" t="s">
        <v>46</v>
      </c>
      <c r="C305" s="5" t="s">
        <v>47</v>
      </c>
      <c r="D305" s="7">
        <v>45</v>
      </c>
      <c r="E305" s="7">
        <v>74</v>
      </c>
      <c r="F305" s="7">
        <v>106</v>
      </c>
      <c r="G305" s="7">
        <v>116</v>
      </c>
      <c r="H305" s="7">
        <v>143</v>
      </c>
      <c r="J305" t="str">
        <f t="shared" si="30"/>
        <v>Slovakia</v>
      </c>
      <c r="K305" t="s">
        <v>111</v>
      </c>
      <c r="L305" s="16">
        <f t="shared" si="31"/>
        <v>9.2975206611570244E-2</v>
      </c>
      <c r="M305" s="16">
        <f t="shared" si="32"/>
        <v>0.15289256198347106</v>
      </c>
      <c r="N305" s="16">
        <f t="shared" si="33"/>
        <v>0.21900826446280991</v>
      </c>
      <c r="O305" s="16">
        <f t="shared" si="34"/>
        <v>0.23966942148760331</v>
      </c>
      <c r="P305" s="16">
        <f t="shared" si="35"/>
        <v>0.29545454545454547</v>
      </c>
    </row>
    <row r="306" spans="1:16" x14ac:dyDescent="0.3">
      <c r="A306" s="5" t="s">
        <v>83</v>
      </c>
      <c r="B306" s="5" t="s">
        <v>48</v>
      </c>
      <c r="C306" s="5" t="s">
        <v>49</v>
      </c>
      <c r="D306" s="8">
        <v>46</v>
      </c>
      <c r="E306" s="8">
        <v>48</v>
      </c>
      <c r="F306" s="8">
        <v>49</v>
      </c>
      <c r="G306" s="8">
        <v>50</v>
      </c>
      <c r="H306" s="8">
        <v>47</v>
      </c>
      <c r="J306" t="str">
        <f t="shared" si="30"/>
        <v>Slovakia</v>
      </c>
      <c r="K306" t="s">
        <v>112</v>
      </c>
      <c r="L306" s="16">
        <f t="shared" si="31"/>
        <v>0.19166666666666668</v>
      </c>
      <c r="M306" s="16">
        <f t="shared" si="32"/>
        <v>0.2</v>
      </c>
      <c r="N306" s="16">
        <f t="shared" si="33"/>
        <v>0.20416666666666666</v>
      </c>
      <c r="O306" s="16">
        <f t="shared" si="34"/>
        <v>0.20833333333333334</v>
      </c>
      <c r="P306" s="16">
        <f t="shared" si="35"/>
        <v>0.19583333333333333</v>
      </c>
    </row>
    <row r="307" spans="1:16" x14ac:dyDescent="0.3">
      <c r="A307" s="5" t="s">
        <v>83</v>
      </c>
      <c r="B307" s="5" t="s">
        <v>50</v>
      </c>
      <c r="C307" s="5" t="s">
        <v>51</v>
      </c>
      <c r="D307" s="7">
        <v>43</v>
      </c>
      <c r="E307" s="7">
        <v>52</v>
      </c>
      <c r="F307" s="7">
        <v>61</v>
      </c>
      <c r="G307" s="7">
        <v>63</v>
      </c>
      <c r="H307" s="7">
        <v>67</v>
      </c>
      <c r="J307" t="str">
        <f t="shared" si="30"/>
        <v>Slovakia</v>
      </c>
      <c r="K307" t="s">
        <v>113</v>
      </c>
      <c r="L307" s="16">
        <f t="shared" si="31"/>
        <v>0.15034965034965034</v>
      </c>
      <c r="M307" s="16">
        <f t="shared" si="32"/>
        <v>0.18181818181818182</v>
      </c>
      <c r="N307" s="16">
        <f t="shared" si="33"/>
        <v>0.21328671328671328</v>
      </c>
      <c r="O307" s="16">
        <f t="shared" si="34"/>
        <v>0.22027972027972029</v>
      </c>
      <c r="P307" s="16">
        <f t="shared" si="35"/>
        <v>0.23426573426573427</v>
      </c>
    </row>
    <row r="308" spans="1:16" x14ac:dyDescent="0.3">
      <c r="A308" s="5" t="s">
        <v>83</v>
      </c>
      <c r="B308" s="5" t="s">
        <v>52</v>
      </c>
      <c r="C308" s="5" t="s">
        <v>53</v>
      </c>
      <c r="D308" s="8">
        <v>2</v>
      </c>
      <c r="E308" s="8">
        <v>4</v>
      </c>
      <c r="F308" s="8">
        <v>5</v>
      </c>
      <c r="G308" s="8">
        <v>8</v>
      </c>
      <c r="H308" s="8">
        <v>10</v>
      </c>
      <c r="J308" t="str">
        <f t="shared" si="30"/>
        <v>Slovakia</v>
      </c>
      <c r="K308" t="s">
        <v>114</v>
      </c>
      <c r="L308" s="16">
        <f t="shared" si="31"/>
        <v>6.8965517241379309E-2</v>
      </c>
      <c r="M308" s="16">
        <f t="shared" si="32"/>
        <v>0.13793103448275862</v>
      </c>
      <c r="N308" s="16">
        <f t="shared" si="33"/>
        <v>0.17241379310344829</v>
      </c>
      <c r="O308" s="16">
        <f t="shared" si="34"/>
        <v>0.27586206896551724</v>
      </c>
      <c r="P308" s="16">
        <f t="shared" si="35"/>
        <v>0.34482758620689657</v>
      </c>
    </row>
    <row r="309" spans="1:16" x14ac:dyDescent="0.3">
      <c r="A309" s="5" t="s">
        <v>83</v>
      </c>
      <c r="B309" s="5" t="s">
        <v>54</v>
      </c>
      <c r="C309" s="5" t="s">
        <v>55</v>
      </c>
      <c r="D309" s="7">
        <v>34</v>
      </c>
      <c r="E309" s="7">
        <v>35</v>
      </c>
      <c r="F309" s="7">
        <v>47</v>
      </c>
      <c r="G309" s="7">
        <v>51</v>
      </c>
      <c r="H309" s="7">
        <v>51</v>
      </c>
      <c r="J309" t="str">
        <f t="shared" si="30"/>
        <v>Slovakia</v>
      </c>
      <c r="K309" t="s">
        <v>115</v>
      </c>
      <c r="L309" s="16">
        <f t="shared" si="31"/>
        <v>0.15596330275229359</v>
      </c>
      <c r="M309" s="16">
        <f t="shared" si="32"/>
        <v>0.16055045871559634</v>
      </c>
      <c r="N309" s="16">
        <f t="shared" si="33"/>
        <v>0.21559633027522937</v>
      </c>
      <c r="O309" s="16">
        <f t="shared" si="34"/>
        <v>0.23394495412844038</v>
      </c>
      <c r="P309" s="16">
        <f t="shared" si="35"/>
        <v>0.23394495412844038</v>
      </c>
    </row>
    <row r="310" spans="1:16" x14ac:dyDescent="0.3">
      <c r="A310" s="5" t="s">
        <v>83</v>
      </c>
      <c r="B310" s="5" t="s">
        <v>56</v>
      </c>
      <c r="C310" s="5" t="s">
        <v>57</v>
      </c>
      <c r="D310" s="8">
        <v>41</v>
      </c>
      <c r="E310" s="8">
        <v>52</v>
      </c>
      <c r="F310" s="8">
        <v>68</v>
      </c>
      <c r="G310" s="8">
        <v>79</v>
      </c>
      <c r="H310" s="8">
        <v>90</v>
      </c>
      <c r="J310" t="str">
        <f t="shared" si="30"/>
        <v>Slovakia</v>
      </c>
      <c r="K310" t="s">
        <v>116</v>
      </c>
      <c r="L310" s="16">
        <f t="shared" si="31"/>
        <v>0.12424242424242424</v>
      </c>
      <c r="M310" s="16">
        <f t="shared" si="32"/>
        <v>0.15757575757575756</v>
      </c>
      <c r="N310" s="16">
        <f t="shared" si="33"/>
        <v>0.20606060606060606</v>
      </c>
      <c r="O310" s="16">
        <f t="shared" si="34"/>
        <v>0.23939393939393938</v>
      </c>
      <c r="P310" s="16">
        <f t="shared" si="35"/>
        <v>0.27272727272727271</v>
      </c>
    </row>
    <row r="311" spans="1:16" x14ac:dyDescent="0.3">
      <c r="A311" s="5" t="s">
        <v>84</v>
      </c>
      <c r="B311" s="5" t="s">
        <v>34</v>
      </c>
      <c r="C311" s="5" t="s">
        <v>35</v>
      </c>
      <c r="D311" s="7">
        <v>128</v>
      </c>
      <c r="E311" s="7">
        <v>122</v>
      </c>
      <c r="F311" s="7">
        <v>129</v>
      </c>
      <c r="G311" s="7">
        <v>123</v>
      </c>
      <c r="H311" s="7">
        <v>110</v>
      </c>
      <c r="J311" t="str">
        <f t="shared" si="30"/>
        <v>Finland</v>
      </c>
      <c r="K311" t="s">
        <v>105</v>
      </c>
      <c r="L311" s="16">
        <f t="shared" si="31"/>
        <v>0.20915032679738563</v>
      </c>
      <c r="M311" s="16">
        <f t="shared" si="32"/>
        <v>0.19934640522875818</v>
      </c>
      <c r="N311" s="16">
        <f t="shared" si="33"/>
        <v>0.2107843137254902</v>
      </c>
      <c r="O311" s="16">
        <f t="shared" si="34"/>
        <v>0.20098039215686275</v>
      </c>
      <c r="P311" s="16">
        <f t="shared" si="35"/>
        <v>0.17973856209150327</v>
      </c>
    </row>
    <row r="312" spans="1:16" x14ac:dyDescent="0.3">
      <c r="A312" s="5" t="s">
        <v>84</v>
      </c>
      <c r="B312" s="5" t="s">
        <v>36</v>
      </c>
      <c r="C312" s="5" t="s">
        <v>37</v>
      </c>
      <c r="D312" s="8">
        <v>43</v>
      </c>
      <c r="E312" s="8">
        <v>28</v>
      </c>
      <c r="F312" s="8">
        <v>20</v>
      </c>
      <c r="G312" s="8">
        <v>21</v>
      </c>
      <c r="H312" s="8">
        <v>15</v>
      </c>
      <c r="J312" t="str">
        <f t="shared" si="30"/>
        <v>Finland</v>
      </c>
      <c r="K312" t="s">
        <v>106</v>
      </c>
      <c r="L312" s="16">
        <f t="shared" si="31"/>
        <v>0.33858267716535434</v>
      </c>
      <c r="M312" s="16">
        <f t="shared" si="32"/>
        <v>0.22047244094488189</v>
      </c>
      <c r="N312" s="16">
        <f t="shared" si="33"/>
        <v>0.15748031496062992</v>
      </c>
      <c r="O312" s="16">
        <f t="shared" si="34"/>
        <v>0.16535433070866143</v>
      </c>
      <c r="P312" s="16">
        <f t="shared" si="35"/>
        <v>0.11811023622047244</v>
      </c>
    </row>
    <row r="313" spans="1:16" x14ac:dyDescent="0.3">
      <c r="A313" s="5" t="s">
        <v>84</v>
      </c>
      <c r="B313" s="5" t="s">
        <v>38</v>
      </c>
      <c r="C313" s="5" t="s">
        <v>39</v>
      </c>
      <c r="D313" s="7">
        <v>29</v>
      </c>
      <c r="E313" s="7">
        <v>24</v>
      </c>
      <c r="F313" s="7">
        <v>24</v>
      </c>
      <c r="G313" s="7">
        <v>30</v>
      </c>
      <c r="H313" s="7">
        <v>35</v>
      </c>
      <c r="J313" t="str">
        <f t="shared" si="30"/>
        <v>Finland</v>
      </c>
      <c r="K313" t="s">
        <v>107</v>
      </c>
      <c r="L313" s="16">
        <f t="shared" si="31"/>
        <v>0.20422535211267606</v>
      </c>
      <c r="M313" s="16">
        <f t="shared" si="32"/>
        <v>0.16901408450704225</v>
      </c>
      <c r="N313" s="16">
        <f t="shared" si="33"/>
        <v>0.16901408450704225</v>
      </c>
      <c r="O313" s="16">
        <f t="shared" si="34"/>
        <v>0.21126760563380281</v>
      </c>
      <c r="P313" s="16">
        <f t="shared" si="35"/>
        <v>0.24647887323943662</v>
      </c>
    </row>
    <row r="314" spans="1:16" x14ac:dyDescent="0.3">
      <c r="A314" s="5" t="s">
        <v>84</v>
      </c>
      <c r="B314" s="5" t="s">
        <v>40</v>
      </c>
      <c r="C314" s="5" t="s">
        <v>41</v>
      </c>
      <c r="D314" s="8">
        <v>391</v>
      </c>
      <c r="E314" s="8">
        <v>369</v>
      </c>
      <c r="F314" s="8">
        <v>340</v>
      </c>
      <c r="G314" s="8">
        <v>305</v>
      </c>
      <c r="H314" s="8">
        <v>270</v>
      </c>
      <c r="J314" t="str">
        <f t="shared" si="30"/>
        <v>Finland</v>
      </c>
      <c r="K314" t="s">
        <v>108</v>
      </c>
      <c r="L314" s="16">
        <f t="shared" si="31"/>
        <v>0.23343283582089552</v>
      </c>
      <c r="M314" s="16">
        <f t="shared" si="32"/>
        <v>0.22029850746268656</v>
      </c>
      <c r="N314" s="16">
        <f t="shared" si="33"/>
        <v>0.20298507462686566</v>
      </c>
      <c r="O314" s="16">
        <f t="shared" si="34"/>
        <v>0.18208955223880596</v>
      </c>
      <c r="P314" s="16">
        <f t="shared" si="35"/>
        <v>0.16119402985074627</v>
      </c>
    </row>
    <row r="315" spans="1:16" x14ac:dyDescent="0.3">
      <c r="A315" s="5" t="s">
        <v>84</v>
      </c>
      <c r="B315" s="5" t="s">
        <v>42</v>
      </c>
      <c r="C315" s="5" t="s">
        <v>43</v>
      </c>
      <c r="D315" s="7">
        <v>32</v>
      </c>
      <c r="E315" s="7">
        <v>36</v>
      </c>
      <c r="F315" s="7">
        <v>42</v>
      </c>
      <c r="G315" s="7">
        <v>45</v>
      </c>
      <c r="H315" s="7">
        <v>49</v>
      </c>
      <c r="J315" t="str">
        <f t="shared" si="30"/>
        <v>Finland</v>
      </c>
      <c r="K315" t="s">
        <v>109</v>
      </c>
      <c r="L315" s="16">
        <f t="shared" si="31"/>
        <v>0.15686274509803921</v>
      </c>
      <c r="M315" s="16">
        <f t="shared" si="32"/>
        <v>0.17647058823529413</v>
      </c>
      <c r="N315" s="16">
        <f t="shared" si="33"/>
        <v>0.20588235294117646</v>
      </c>
      <c r="O315" s="16">
        <f t="shared" si="34"/>
        <v>0.22058823529411764</v>
      </c>
      <c r="P315" s="16">
        <f t="shared" si="35"/>
        <v>0.24019607843137256</v>
      </c>
    </row>
    <row r="316" spans="1:16" x14ac:dyDescent="0.3">
      <c r="A316" s="5" t="s">
        <v>84</v>
      </c>
      <c r="B316" s="5" t="s">
        <v>44</v>
      </c>
      <c r="C316" s="5" t="s">
        <v>45</v>
      </c>
      <c r="D316" s="8">
        <v>45</v>
      </c>
      <c r="E316" s="8">
        <v>43</v>
      </c>
      <c r="F316" s="8">
        <v>40</v>
      </c>
      <c r="G316" s="8">
        <v>33</v>
      </c>
      <c r="H316" s="8">
        <v>27</v>
      </c>
      <c r="J316" t="str">
        <f t="shared" si="30"/>
        <v>Finland</v>
      </c>
      <c r="K316" t="s">
        <v>110</v>
      </c>
      <c r="L316" s="16">
        <f t="shared" si="31"/>
        <v>0.23936170212765959</v>
      </c>
      <c r="M316" s="16">
        <f t="shared" si="32"/>
        <v>0.22872340425531915</v>
      </c>
      <c r="N316" s="16">
        <f t="shared" si="33"/>
        <v>0.21276595744680851</v>
      </c>
      <c r="O316" s="16">
        <f t="shared" si="34"/>
        <v>0.17553191489361702</v>
      </c>
      <c r="P316" s="16">
        <f t="shared" si="35"/>
        <v>0.14361702127659576</v>
      </c>
    </row>
    <row r="317" spans="1:16" x14ac:dyDescent="0.3">
      <c r="A317" s="5" t="s">
        <v>84</v>
      </c>
      <c r="B317" s="5" t="s">
        <v>46</v>
      </c>
      <c r="C317" s="5" t="s">
        <v>47</v>
      </c>
      <c r="D317" s="7">
        <v>101</v>
      </c>
      <c r="E317" s="7">
        <v>133</v>
      </c>
      <c r="F317" s="7">
        <v>145</v>
      </c>
      <c r="G317" s="7">
        <v>155</v>
      </c>
      <c r="H317" s="7">
        <v>183</v>
      </c>
      <c r="J317" t="str">
        <f t="shared" si="30"/>
        <v>Finland</v>
      </c>
      <c r="K317" t="s">
        <v>111</v>
      </c>
      <c r="L317" s="16">
        <f t="shared" si="31"/>
        <v>0.14086471408647142</v>
      </c>
      <c r="M317" s="16">
        <f t="shared" si="32"/>
        <v>0.18549511854951187</v>
      </c>
      <c r="N317" s="16">
        <f t="shared" si="33"/>
        <v>0.20223152022315202</v>
      </c>
      <c r="O317" s="16">
        <f t="shared" si="34"/>
        <v>0.21617852161785217</v>
      </c>
      <c r="P317" s="16">
        <f t="shared" si="35"/>
        <v>0.25523012552301255</v>
      </c>
    </row>
    <row r="318" spans="1:16" x14ac:dyDescent="0.3">
      <c r="A318" s="5" t="s">
        <v>84</v>
      </c>
      <c r="B318" s="5" t="s">
        <v>48</v>
      </c>
      <c r="C318" s="5" t="s">
        <v>49</v>
      </c>
      <c r="D318" s="8">
        <v>31</v>
      </c>
      <c r="E318" s="8">
        <v>28</v>
      </c>
      <c r="F318" s="8">
        <v>28</v>
      </c>
      <c r="G318" s="8">
        <v>26</v>
      </c>
      <c r="H318" s="8">
        <v>22</v>
      </c>
      <c r="J318" t="str">
        <f t="shared" si="30"/>
        <v>Finland</v>
      </c>
      <c r="K318" t="s">
        <v>112</v>
      </c>
      <c r="L318" s="16">
        <f t="shared" si="31"/>
        <v>0.22962962962962963</v>
      </c>
      <c r="M318" s="16">
        <f t="shared" si="32"/>
        <v>0.2074074074074074</v>
      </c>
      <c r="N318" s="16">
        <f t="shared" si="33"/>
        <v>0.2074074074074074</v>
      </c>
      <c r="O318" s="16">
        <f t="shared" si="34"/>
        <v>0.19259259259259259</v>
      </c>
      <c r="P318" s="16">
        <f t="shared" si="35"/>
        <v>0.16296296296296298</v>
      </c>
    </row>
    <row r="319" spans="1:16" x14ac:dyDescent="0.3">
      <c r="A319" s="5" t="s">
        <v>84</v>
      </c>
      <c r="B319" s="5" t="s">
        <v>50</v>
      </c>
      <c r="C319" s="5" t="s">
        <v>51</v>
      </c>
      <c r="D319" s="7">
        <v>83</v>
      </c>
      <c r="E319" s="7">
        <v>81</v>
      </c>
      <c r="F319" s="7">
        <v>86</v>
      </c>
      <c r="G319" s="7">
        <v>93</v>
      </c>
      <c r="H319" s="7">
        <v>100</v>
      </c>
      <c r="J319" t="str">
        <f t="shared" si="30"/>
        <v>Finland</v>
      </c>
      <c r="K319" t="s">
        <v>113</v>
      </c>
      <c r="L319" s="16">
        <f t="shared" si="31"/>
        <v>0.18735891647855529</v>
      </c>
      <c r="M319" s="16">
        <f t="shared" si="32"/>
        <v>0.18284424379232506</v>
      </c>
      <c r="N319" s="16">
        <f t="shared" si="33"/>
        <v>0.19413092550790068</v>
      </c>
      <c r="O319" s="16">
        <f t="shared" si="34"/>
        <v>0.20993227990970656</v>
      </c>
      <c r="P319" s="16">
        <f t="shared" si="35"/>
        <v>0.22573363431151242</v>
      </c>
    </row>
    <row r="320" spans="1:16" x14ac:dyDescent="0.3">
      <c r="A320" s="5" t="s">
        <v>84</v>
      </c>
      <c r="B320" s="5" t="s">
        <v>52</v>
      </c>
      <c r="C320" s="5" t="s">
        <v>53</v>
      </c>
      <c r="D320" s="8">
        <v>2</v>
      </c>
      <c r="E320" s="8">
        <v>1</v>
      </c>
      <c r="F320" s="8">
        <v>1</v>
      </c>
      <c r="G320" s="8">
        <v>1</v>
      </c>
      <c r="H320" s="8">
        <v>1</v>
      </c>
      <c r="J320" t="str">
        <f t="shared" si="30"/>
        <v>Finland</v>
      </c>
      <c r="K320" t="s">
        <v>114</v>
      </c>
      <c r="L320" s="16">
        <f t="shared" si="31"/>
        <v>0.33333333333333331</v>
      </c>
      <c r="M320" s="16">
        <f t="shared" si="32"/>
        <v>0.16666666666666666</v>
      </c>
      <c r="N320" s="16">
        <f t="shared" si="33"/>
        <v>0.16666666666666666</v>
      </c>
      <c r="O320" s="16">
        <f t="shared" si="34"/>
        <v>0.16666666666666666</v>
      </c>
      <c r="P320" s="16">
        <f t="shared" si="35"/>
        <v>0.16666666666666666</v>
      </c>
    </row>
    <row r="321" spans="1:16" x14ac:dyDescent="0.3">
      <c r="A321" s="5" t="s">
        <v>84</v>
      </c>
      <c r="B321" s="5" t="s">
        <v>54</v>
      </c>
      <c r="C321" s="5" t="s">
        <v>55</v>
      </c>
      <c r="D321" s="7">
        <v>39</v>
      </c>
      <c r="E321" s="7">
        <v>43</v>
      </c>
      <c r="F321" s="7">
        <v>43</v>
      </c>
      <c r="G321" s="7">
        <v>46</v>
      </c>
      <c r="H321" s="7">
        <v>60</v>
      </c>
      <c r="J321" t="str">
        <f t="shared" si="30"/>
        <v>Finland</v>
      </c>
      <c r="K321" t="s">
        <v>115</v>
      </c>
      <c r="L321" s="16">
        <f t="shared" si="31"/>
        <v>0.16883116883116883</v>
      </c>
      <c r="M321" s="16">
        <f t="shared" si="32"/>
        <v>0.18614718614718614</v>
      </c>
      <c r="N321" s="16">
        <f t="shared" si="33"/>
        <v>0.18614718614718614</v>
      </c>
      <c r="O321" s="16">
        <f t="shared" si="34"/>
        <v>0.19913419913419914</v>
      </c>
      <c r="P321" s="16">
        <f t="shared" si="35"/>
        <v>0.25974025974025972</v>
      </c>
    </row>
    <row r="322" spans="1:16" x14ac:dyDescent="0.3">
      <c r="A322" s="5" t="s">
        <v>84</v>
      </c>
      <c r="B322" s="5" t="s">
        <v>56</v>
      </c>
      <c r="C322" s="5" t="s">
        <v>57</v>
      </c>
      <c r="D322" s="8">
        <v>74</v>
      </c>
      <c r="E322" s="8">
        <v>91</v>
      </c>
      <c r="F322" s="8">
        <v>102</v>
      </c>
      <c r="G322" s="8">
        <v>122</v>
      </c>
      <c r="H322" s="8">
        <v>129</v>
      </c>
      <c r="J322" t="str">
        <f t="shared" si="30"/>
        <v>Finland</v>
      </c>
      <c r="K322" t="s">
        <v>116</v>
      </c>
      <c r="L322" s="16">
        <f t="shared" si="31"/>
        <v>0.14285714285714285</v>
      </c>
      <c r="M322" s="16">
        <f t="shared" si="32"/>
        <v>0.17567567567567569</v>
      </c>
      <c r="N322" s="16">
        <f t="shared" si="33"/>
        <v>0.19691119691119691</v>
      </c>
      <c r="O322" s="16">
        <f t="shared" si="34"/>
        <v>0.23552123552123552</v>
      </c>
      <c r="P322" s="16">
        <f t="shared" si="35"/>
        <v>0.24903474903474904</v>
      </c>
    </row>
    <row r="323" spans="1:16" x14ac:dyDescent="0.3">
      <c r="A323" s="5" t="s">
        <v>85</v>
      </c>
      <c r="B323" s="5" t="s">
        <v>34</v>
      </c>
      <c r="C323" s="5" t="s">
        <v>35</v>
      </c>
      <c r="D323" s="7">
        <v>122</v>
      </c>
      <c r="E323" s="7">
        <v>119</v>
      </c>
      <c r="F323" s="7">
        <v>124</v>
      </c>
      <c r="G323" s="7">
        <v>118</v>
      </c>
      <c r="H323" s="7">
        <v>109</v>
      </c>
      <c r="J323" t="str">
        <f t="shared" si="30"/>
        <v>Sweden</v>
      </c>
      <c r="K323" t="s">
        <v>105</v>
      </c>
      <c r="L323" s="16">
        <f t="shared" si="31"/>
        <v>0.20608108108108109</v>
      </c>
      <c r="M323" s="16">
        <f t="shared" si="32"/>
        <v>0.20101351351351351</v>
      </c>
      <c r="N323" s="16">
        <f t="shared" si="33"/>
        <v>0.20945945945945946</v>
      </c>
      <c r="O323" s="16">
        <f t="shared" si="34"/>
        <v>0.19932432432432431</v>
      </c>
      <c r="P323" s="16">
        <f t="shared" si="35"/>
        <v>0.18412162162162163</v>
      </c>
    </row>
    <row r="324" spans="1:16" x14ac:dyDescent="0.3">
      <c r="A324" s="5" t="s">
        <v>85</v>
      </c>
      <c r="B324" s="5" t="s">
        <v>36</v>
      </c>
      <c r="C324" s="5" t="s">
        <v>37</v>
      </c>
      <c r="D324" s="8">
        <v>23</v>
      </c>
      <c r="E324" s="8">
        <v>21</v>
      </c>
      <c r="F324" s="8">
        <v>19</v>
      </c>
      <c r="G324" s="8">
        <v>17</v>
      </c>
      <c r="H324" s="8">
        <v>15</v>
      </c>
      <c r="J324" t="str">
        <f t="shared" si="30"/>
        <v>Sweden</v>
      </c>
      <c r="K324" t="s">
        <v>106</v>
      </c>
      <c r="L324" s="16">
        <f t="shared" si="31"/>
        <v>0.24210526315789474</v>
      </c>
      <c r="M324" s="16">
        <f t="shared" si="32"/>
        <v>0.22105263157894736</v>
      </c>
      <c r="N324" s="16">
        <f t="shared" si="33"/>
        <v>0.2</v>
      </c>
      <c r="O324" s="16">
        <f t="shared" si="34"/>
        <v>0.17894736842105263</v>
      </c>
      <c r="P324" s="16">
        <f t="shared" si="35"/>
        <v>0.15789473684210525</v>
      </c>
    </row>
    <row r="325" spans="1:16" x14ac:dyDescent="0.3">
      <c r="A325" s="5" t="s">
        <v>85</v>
      </c>
      <c r="B325" s="5" t="s">
        <v>38</v>
      </c>
      <c r="C325" s="5" t="s">
        <v>39</v>
      </c>
      <c r="D325" s="7">
        <v>32</v>
      </c>
      <c r="E325" s="7">
        <v>38</v>
      </c>
      <c r="F325" s="7">
        <v>34</v>
      </c>
      <c r="G325" s="7">
        <v>46</v>
      </c>
      <c r="H325" s="7">
        <v>51</v>
      </c>
      <c r="J325" t="str">
        <f t="shared" si="30"/>
        <v>Sweden</v>
      </c>
      <c r="K325" t="s">
        <v>107</v>
      </c>
      <c r="L325" s="16">
        <f t="shared" si="31"/>
        <v>0.15920398009950248</v>
      </c>
      <c r="M325" s="16">
        <f t="shared" si="32"/>
        <v>0.1890547263681592</v>
      </c>
      <c r="N325" s="16">
        <f t="shared" si="33"/>
        <v>0.1691542288557214</v>
      </c>
      <c r="O325" s="16">
        <f t="shared" si="34"/>
        <v>0.22885572139303484</v>
      </c>
      <c r="P325" s="16">
        <f t="shared" si="35"/>
        <v>0.2537313432835821</v>
      </c>
    </row>
    <row r="326" spans="1:16" x14ac:dyDescent="0.3">
      <c r="A326" s="5" t="s">
        <v>85</v>
      </c>
      <c r="B326" s="5" t="s">
        <v>40</v>
      </c>
      <c r="C326" s="5" t="s">
        <v>41</v>
      </c>
      <c r="D326" s="8">
        <v>384</v>
      </c>
      <c r="E326" s="8">
        <v>354</v>
      </c>
      <c r="F326" s="8">
        <v>332</v>
      </c>
      <c r="G326" s="8">
        <v>319</v>
      </c>
      <c r="H326" s="8">
        <v>278</v>
      </c>
      <c r="J326" t="str">
        <f t="shared" si="30"/>
        <v>Sweden</v>
      </c>
      <c r="K326" t="s">
        <v>108</v>
      </c>
      <c r="L326" s="16">
        <f t="shared" si="31"/>
        <v>0.23035392921415718</v>
      </c>
      <c r="M326" s="16">
        <f t="shared" si="32"/>
        <v>0.21235752849430115</v>
      </c>
      <c r="N326" s="16">
        <f t="shared" si="33"/>
        <v>0.19916016796640673</v>
      </c>
      <c r="O326" s="16">
        <f t="shared" si="34"/>
        <v>0.1913617276544691</v>
      </c>
      <c r="P326" s="16">
        <f t="shared" si="35"/>
        <v>0.16676664667066587</v>
      </c>
    </row>
    <row r="327" spans="1:16" x14ac:dyDescent="0.3">
      <c r="A327" s="5" t="s">
        <v>85</v>
      </c>
      <c r="B327" s="5" t="s">
        <v>42</v>
      </c>
      <c r="C327" s="5" t="s">
        <v>43</v>
      </c>
      <c r="D327" s="7">
        <v>39</v>
      </c>
      <c r="E327" s="7">
        <v>49</v>
      </c>
      <c r="F327" s="7">
        <v>52</v>
      </c>
      <c r="G327" s="7">
        <v>60</v>
      </c>
      <c r="H327" s="7">
        <v>65</v>
      </c>
      <c r="J327" t="str">
        <f t="shared" si="30"/>
        <v>Sweden</v>
      </c>
      <c r="K327" t="s">
        <v>109</v>
      </c>
      <c r="L327" s="16">
        <f t="shared" si="31"/>
        <v>0.14716981132075471</v>
      </c>
      <c r="M327" s="16">
        <f t="shared" si="32"/>
        <v>0.18490566037735848</v>
      </c>
      <c r="N327" s="16">
        <f t="shared" si="33"/>
        <v>0.19622641509433963</v>
      </c>
      <c r="O327" s="16">
        <f t="shared" si="34"/>
        <v>0.22641509433962265</v>
      </c>
      <c r="P327" s="16">
        <f t="shared" si="35"/>
        <v>0.24528301886792453</v>
      </c>
    </row>
    <row r="328" spans="1:16" x14ac:dyDescent="0.3">
      <c r="A328" s="5" t="s">
        <v>85</v>
      </c>
      <c r="B328" s="5" t="s">
        <v>44</v>
      </c>
      <c r="C328" s="5" t="s">
        <v>45</v>
      </c>
      <c r="D328" s="8">
        <v>28</v>
      </c>
      <c r="E328" s="8">
        <v>29</v>
      </c>
      <c r="F328" s="8">
        <v>19</v>
      </c>
      <c r="G328" s="8">
        <v>18</v>
      </c>
      <c r="H328" s="8">
        <v>17</v>
      </c>
      <c r="J328" t="str">
        <f t="shared" si="30"/>
        <v>Sweden</v>
      </c>
      <c r="K328" t="s">
        <v>110</v>
      </c>
      <c r="L328" s="16">
        <f t="shared" si="31"/>
        <v>0.25225225225225223</v>
      </c>
      <c r="M328" s="16">
        <f t="shared" si="32"/>
        <v>0.26126126126126126</v>
      </c>
      <c r="N328" s="16">
        <f t="shared" si="33"/>
        <v>0.17117117117117117</v>
      </c>
      <c r="O328" s="16">
        <f t="shared" si="34"/>
        <v>0.16216216216216217</v>
      </c>
      <c r="P328" s="16">
        <f t="shared" si="35"/>
        <v>0.15315315315315314</v>
      </c>
    </row>
    <row r="329" spans="1:16" x14ac:dyDescent="0.3">
      <c r="A329" s="5" t="s">
        <v>85</v>
      </c>
      <c r="B329" s="5" t="s">
        <v>46</v>
      </c>
      <c r="C329" s="5" t="s">
        <v>47</v>
      </c>
      <c r="D329" s="7">
        <v>89</v>
      </c>
      <c r="E329" s="7">
        <v>131</v>
      </c>
      <c r="F329" s="7">
        <v>131</v>
      </c>
      <c r="G329" s="7">
        <v>147</v>
      </c>
      <c r="H329" s="7">
        <v>151</v>
      </c>
      <c r="J329" t="str">
        <f t="shared" si="30"/>
        <v>Sweden</v>
      </c>
      <c r="K329" t="s">
        <v>111</v>
      </c>
      <c r="L329" s="16">
        <f t="shared" si="31"/>
        <v>0.13713405238828968</v>
      </c>
      <c r="M329" s="16">
        <f t="shared" si="32"/>
        <v>0.20184899845916796</v>
      </c>
      <c r="N329" s="16">
        <f t="shared" si="33"/>
        <v>0.20184899845916796</v>
      </c>
      <c r="O329" s="16">
        <f t="shared" si="34"/>
        <v>0.22650231124807396</v>
      </c>
      <c r="P329" s="16">
        <f t="shared" si="35"/>
        <v>0.23266563944530047</v>
      </c>
    </row>
    <row r="330" spans="1:16" x14ac:dyDescent="0.3">
      <c r="A330" s="5" t="s">
        <v>85</v>
      </c>
      <c r="B330" s="5" t="s">
        <v>48</v>
      </c>
      <c r="C330" s="5" t="s">
        <v>49</v>
      </c>
      <c r="D330" s="8">
        <v>35</v>
      </c>
      <c r="E330" s="8">
        <v>36</v>
      </c>
      <c r="F330" s="8">
        <v>34</v>
      </c>
      <c r="G330" s="8">
        <v>34</v>
      </c>
      <c r="H330" s="8">
        <v>26</v>
      </c>
      <c r="J330" t="str">
        <f t="shared" si="30"/>
        <v>Sweden</v>
      </c>
      <c r="K330" t="s">
        <v>112</v>
      </c>
      <c r="L330" s="16">
        <f t="shared" si="31"/>
        <v>0.21212121212121213</v>
      </c>
      <c r="M330" s="16">
        <f t="shared" si="32"/>
        <v>0.21818181818181817</v>
      </c>
      <c r="N330" s="16">
        <f t="shared" si="33"/>
        <v>0.20606060606060606</v>
      </c>
      <c r="O330" s="16">
        <f t="shared" si="34"/>
        <v>0.20606060606060606</v>
      </c>
      <c r="P330" s="16">
        <f t="shared" si="35"/>
        <v>0.15757575757575756</v>
      </c>
    </row>
    <row r="331" spans="1:16" x14ac:dyDescent="0.3">
      <c r="A331" s="5" t="s">
        <v>85</v>
      </c>
      <c r="B331" s="5" t="s">
        <v>50</v>
      </c>
      <c r="C331" s="5" t="s">
        <v>51</v>
      </c>
      <c r="D331" s="7">
        <v>150</v>
      </c>
      <c r="E331" s="7">
        <v>128</v>
      </c>
      <c r="F331" s="7">
        <v>140</v>
      </c>
      <c r="G331" s="7">
        <v>127</v>
      </c>
      <c r="H331" s="7">
        <v>159</v>
      </c>
      <c r="J331" t="str">
        <f t="shared" si="30"/>
        <v>Sweden</v>
      </c>
      <c r="K331" t="s">
        <v>113</v>
      </c>
      <c r="L331" s="16">
        <f t="shared" si="31"/>
        <v>0.21306818181818182</v>
      </c>
      <c r="M331" s="16">
        <f t="shared" si="32"/>
        <v>0.18181818181818182</v>
      </c>
      <c r="N331" s="16">
        <f t="shared" si="33"/>
        <v>0.19886363636363635</v>
      </c>
      <c r="O331" s="16">
        <f t="shared" si="34"/>
        <v>0.18039772727272727</v>
      </c>
      <c r="P331" s="16">
        <f t="shared" si="35"/>
        <v>0.22585227272727273</v>
      </c>
    </row>
    <row r="332" spans="1:16" x14ac:dyDescent="0.3">
      <c r="A332" s="5" t="s">
        <v>85</v>
      </c>
      <c r="B332" s="5" t="s">
        <v>52</v>
      </c>
      <c r="C332" s="5" t="s">
        <v>53</v>
      </c>
      <c r="D332" s="8">
        <v>0</v>
      </c>
      <c r="E332" s="8">
        <v>0</v>
      </c>
      <c r="F332" s="8">
        <v>7</v>
      </c>
      <c r="G332" s="8">
        <v>0</v>
      </c>
      <c r="H332" s="8">
        <v>1</v>
      </c>
      <c r="J332" t="str">
        <f t="shared" ref="J332:J395" si="36">A332</f>
        <v>Sweden</v>
      </c>
      <c r="K332" t="s">
        <v>114</v>
      </c>
      <c r="L332" s="16">
        <f t="shared" si="31"/>
        <v>0</v>
      </c>
      <c r="M332" s="16">
        <f t="shared" si="32"/>
        <v>0</v>
      </c>
      <c r="N332" s="16">
        <f t="shared" si="33"/>
        <v>0.875</v>
      </c>
      <c r="O332" s="16">
        <f t="shared" si="34"/>
        <v>0</v>
      </c>
      <c r="P332" s="16">
        <f t="shared" si="35"/>
        <v>0.125</v>
      </c>
    </row>
    <row r="333" spans="1:16" x14ac:dyDescent="0.3">
      <c r="A333" s="5" t="s">
        <v>85</v>
      </c>
      <c r="B333" s="5" t="s">
        <v>54</v>
      </c>
      <c r="C333" s="5" t="s">
        <v>55</v>
      </c>
      <c r="D333" s="7">
        <v>26</v>
      </c>
      <c r="E333" s="7">
        <v>30</v>
      </c>
      <c r="F333" s="7">
        <v>34</v>
      </c>
      <c r="G333" s="7">
        <v>37</v>
      </c>
      <c r="H333" s="7">
        <v>44</v>
      </c>
      <c r="J333" t="str">
        <f t="shared" si="36"/>
        <v>Sweden</v>
      </c>
      <c r="K333" t="s">
        <v>115</v>
      </c>
      <c r="L333" s="16">
        <f t="shared" si="31"/>
        <v>0.15204678362573099</v>
      </c>
      <c r="M333" s="16">
        <f t="shared" si="32"/>
        <v>0.17543859649122806</v>
      </c>
      <c r="N333" s="16">
        <f t="shared" si="33"/>
        <v>0.19883040935672514</v>
      </c>
      <c r="O333" s="16">
        <f t="shared" si="34"/>
        <v>0.21637426900584794</v>
      </c>
      <c r="P333" s="16">
        <f t="shared" si="35"/>
        <v>0.25730994152046782</v>
      </c>
    </row>
    <row r="334" spans="1:16" x14ac:dyDescent="0.3">
      <c r="A334" s="5" t="s">
        <v>85</v>
      </c>
      <c r="B334" s="5" t="s">
        <v>56</v>
      </c>
      <c r="C334" s="5" t="s">
        <v>57</v>
      </c>
      <c r="D334" s="8">
        <v>64</v>
      </c>
      <c r="E334" s="8">
        <v>54</v>
      </c>
      <c r="F334" s="8">
        <v>62</v>
      </c>
      <c r="G334" s="8">
        <v>68</v>
      </c>
      <c r="H334" s="8">
        <v>68</v>
      </c>
      <c r="J334" t="str">
        <f t="shared" si="36"/>
        <v>Sweden</v>
      </c>
      <c r="K334" t="s">
        <v>116</v>
      </c>
      <c r="L334" s="16">
        <f t="shared" si="31"/>
        <v>0.20253164556962025</v>
      </c>
      <c r="M334" s="16">
        <f t="shared" si="32"/>
        <v>0.17088607594936708</v>
      </c>
      <c r="N334" s="16">
        <f t="shared" si="33"/>
        <v>0.19620253164556961</v>
      </c>
      <c r="O334" s="16">
        <f t="shared" si="34"/>
        <v>0.21518987341772153</v>
      </c>
      <c r="P334" s="16">
        <f t="shared" si="35"/>
        <v>0.21518987341772153</v>
      </c>
    </row>
    <row r="335" spans="1:16" x14ac:dyDescent="0.3">
      <c r="A335" s="5" t="s">
        <v>86</v>
      </c>
      <c r="B335" s="5" t="s">
        <v>34</v>
      </c>
      <c r="C335" s="5" t="s">
        <v>35</v>
      </c>
      <c r="D335" s="7">
        <v>114</v>
      </c>
      <c r="E335" s="7">
        <v>117</v>
      </c>
      <c r="F335" s="7">
        <v>116</v>
      </c>
      <c r="G335" s="7">
        <v>133</v>
      </c>
      <c r="H335" s="7">
        <v>110</v>
      </c>
      <c r="J335" t="str">
        <f t="shared" si="36"/>
        <v>Norway</v>
      </c>
      <c r="K335" t="s">
        <v>105</v>
      </c>
      <c r="L335" s="16">
        <f t="shared" si="31"/>
        <v>0.19322033898305085</v>
      </c>
      <c r="M335" s="16">
        <f t="shared" si="32"/>
        <v>0.19830508474576272</v>
      </c>
      <c r="N335" s="16">
        <f t="shared" si="33"/>
        <v>0.19661016949152543</v>
      </c>
      <c r="O335" s="16">
        <f t="shared" si="34"/>
        <v>0.22542372881355932</v>
      </c>
      <c r="P335" s="16">
        <f t="shared" si="35"/>
        <v>0.1864406779661017</v>
      </c>
    </row>
    <row r="336" spans="1:16" x14ac:dyDescent="0.3">
      <c r="A336" s="5" t="s">
        <v>86</v>
      </c>
      <c r="B336" s="5" t="s">
        <v>36</v>
      </c>
      <c r="C336" s="5" t="s">
        <v>37</v>
      </c>
      <c r="D336" s="8">
        <v>42</v>
      </c>
      <c r="E336" s="8">
        <v>29</v>
      </c>
      <c r="F336" s="8">
        <v>27</v>
      </c>
      <c r="G336" s="8">
        <v>26</v>
      </c>
      <c r="H336" s="8">
        <v>22</v>
      </c>
      <c r="J336" t="str">
        <f t="shared" si="36"/>
        <v>Norway</v>
      </c>
      <c r="K336" t="s">
        <v>106</v>
      </c>
      <c r="L336" s="16">
        <f t="shared" si="31"/>
        <v>0.28767123287671231</v>
      </c>
      <c r="M336" s="16">
        <f t="shared" si="32"/>
        <v>0.19863013698630136</v>
      </c>
      <c r="N336" s="16">
        <f t="shared" si="33"/>
        <v>0.18493150684931506</v>
      </c>
      <c r="O336" s="16">
        <f t="shared" si="34"/>
        <v>0.17808219178082191</v>
      </c>
      <c r="P336" s="16">
        <f t="shared" si="35"/>
        <v>0.15068493150684931</v>
      </c>
    </row>
    <row r="337" spans="1:16" x14ac:dyDescent="0.3">
      <c r="A337" s="5" t="s">
        <v>86</v>
      </c>
      <c r="B337" s="5" t="s">
        <v>38</v>
      </c>
      <c r="C337" s="5" t="s">
        <v>39</v>
      </c>
      <c r="D337" s="7">
        <v>48</v>
      </c>
      <c r="E337" s="7">
        <v>41</v>
      </c>
      <c r="F337" s="7">
        <v>46</v>
      </c>
      <c r="G337" s="7">
        <v>57</v>
      </c>
      <c r="H337" s="7">
        <v>64</v>
      </c>
      <c r="J337" t="str">
        <f t="shared" si="36"/>
        <v>Norway</v>
      </c>
      <c r="K337" t="s">
        <v>107</v>
      </c>
      <c r="L337" s="16">
        <f t="shared" si="31"/>
        <v>0.1875</v>
      </c>
      <c r="M337" s="16">
        <f t="shared" si="32"/>
        <v>0.16015625</v>
      </c>
      <c r="N337" s="16">
        <f t="shared" si="33"/>
        <v>0.1796875</v>
      </c>
      <c r="O337" s="16">
        <f t="shared" si="34"/>
        <v>0.22265625</v>
      </c>
      <c r="P337" s="16">
        <f t="shared" si="35"/>
        <v>0.25</v>
      </c>
    </row>
    <row r="338" spans="1:16" x14ac:dyDescent="0.3">
      <c r="A338" s="5" t="s">
        <v>86</v>
      </c>
      <c r="B338" s="5" t="s">
        <v>40</v>
      </c>
      <c r="C338" s="5" t="s">
        <v>41</v>
      </c>
      <c r="D338" s="8">
        <v>333</v>
      </c>
      <c r="E338" s="8">
        <v>368</v>
      </c>
      <c r="F338" s="8">
        <v>342</v>
      </c>
      <c r="G338" s="8">
        <v>288</v>
      </c>
      <c r="H338" s="8">
        <v>282</v>
      </c>
      <c r="J338" t="str">
        <f t="shared" si="36"/>
        <v>Norway</v>
      </c>
      <c r="K338" t="s">
        <v>108</v>
      </c>
      <c r="L338" s="16">
        <f t="shared" ref="L338:L401" si="37">D338/(SUM($D338:$H338))</f>
        <v>0.20644761314321142</v>
      </c>
      <c r="M338" s="16">
        <f t="shared" ref="M338:M401" si="38">E338/(SUM($D338:$H338))</f>
        <v>0.22814631122132673</v>
      </c>
      <c r="N338" s="16">
        <f t="shared" ref="N338:N401" si="39">F338/(SUM($D338:$H338))</f>
        <v>0.21202727836329821</v>
      </c>
      <c r="O338" s="16">
        <f t="shared" ref="O338:O401" si="40">G338/(SUM($D338:$H338))</f>
        <v>0.17854928704277742</v>
      </c>
      <c r="P338" s="16">
        <f t="shared" ref="P338:P401" si="41">H338/(SUM($D338:$H338))</f>
        <v>0.17482951022938623</v>
      </c>
    </row>
    <row r="339" spans="1:16" x14ac:dyDescent="0.3">
      <c r="A339" s="5" t="s">
        <v>86</v>
      </c>
      <c r="B339" s="5" t="s">
        <v>42</v>
      </c>
      <c r="C339" s="5" t="s">
        <v>43</v>
      </c>
      <c r="D339" s="7">
        <v>50</v>
      </c>
      <c r="E339" s="7">
        <v>44</v>
      </c>
      <c r="F339" s="7">
        <v>58</v>
      </c>
      <c r="G339" s="7">
        <v>56</v>
      </c>
      <c r="H339" s="7">
        <v>62</v>
      </c>
      <c r="J339" t="str">
        <f t="shared" si="36"/>
        <v>Norway</v>
      </c>
      <c r="K339" t="s">
        <v>109</v>
      </c>
      <c r="L339" s="16">
        <f t="shared" si="37"/>
        <v>0.18518518518518517</v>
      </c>
      <c r="M339" s="16">
        <f t="shared" si="38"/>
        <v>0.16296296296296298</v>
      </c>
      <c r="N339" s="16">
        <f t="shared" si="39"/>
        <v>0.21481481481481482</v>
      </c>
      <c r="O339" s="16">
        <f t="shared" si="40"/>
        <v>0.2074074074074074</v>
      </c>
      <c r="P339" s="16">
        <f t="shared" si="41"/>
        <v>0.22962962962962963</v>
      </c>
    </row>
    <row r="340" spans="1:16" x14ac:dyDescent="0.3">
      <c r="A340" s="5" t="s">
        <v>86</v>
      </c>
      <c r="B340" s="5" t="s">
        <v>44</v>
      </c>
      <c r="C340" s="5" t="s">
        <v>45</v>
      </c>
      <c r="D340" s="8">
        <v>30</v>
      </c>
      <c r="E340" s="8">
        <v>37</v>
      </c>
      <c r="F340" s="8">
        <v>29</v>
      </c>
      <c r="G340" s="8">
        <v>25</v>
      </c>
      <c r="H340" s="8">
        <v>20</v>
      </c>
      <c r="J340" t="str">
        <f t="shared" si="36"/>
        <v>Norway</v>
      </c>
      <c r="K340" t="s">
        <v>110</v>
      </c>
      <c r="L340" s="16">
        <f t="shared" si="37"/>
        <v>0.21276595744680851</v>
      </c>
      <c r="M340" s="16">
        <f t="shared" si="38"/>
        <v>0.26241134751773049</v>
      </c>
      <c r="N340" s="16">
        <f t="shared" si="39"/>
        <v>0.20567375886524822</v>
      </c>
      <c r="O340" s="16">
        <f t="shared" si="40"/>
        <v>0.1773049645390071</v>
      </c>
      <c r="P340" s="16">
        <f t="shared" si="41"/>
        <v>0.14184397163120568</v>
      </c>
    </row>
    <row r="341" spans="1:16" x14ac:dyDescent="0.3">
      <c r="A341" s="5" t="s">
        <v>86</v>
      </c>
      <c r="B341" s="5" t="s">
        <v>46</v>
      </c>
      <c r="C341" s="5" t="s">
        <v>47</v>
      </c>
      <c r="D341" s="7">
        <v>173</v>
      </c>
      <c r="E341" s="7">
        <v>154</v>
      </c>
      <c r="F341" s="7">
        <v>177</v>
      </c>
      <c r="G341" s="7">
        <v>196</v>
      </c>
      <c r="H341" s="7">
        <v>206</v>
      </c>
      <c r="J341" t="str">
        <f t="shared" si="36"/>
        <v>Norway</v>
      </c>
      <c r="K341" t="s">
        <v>111</v>
      </c>
      <c r="L341" s="16">
        <f t="shared" si="37"/>
        <v>0.19094922737306844</v>
      </c>
      <c r="M341" s="16">
        <f t="shared" si="38"/>
        <v>0.16997792494481237</v>
      </c>
      <c r="N341" s="16">
        <f t="shared" si="39"/>
        <v>0.19536423841059603</v>
      </c>
      <c r="O341" s="16">
        <f t="shared" si="40"/>
        <v>0.21633554083885209</v>
      </c>
      <c r="P341" s="16">
        <f t="shared" si="41"/>
        <v>0.22737306843267108</v>
      </c>
    </row>
    <row r="342" spans="1:16" x14ac:dyDescent="0.3">
      <c r="A342" s="5" t="s">
        <v>86</v>
      </c>
      <c r="B342" s="5" t="s">
        <v>48</v>
      </c>
      <c r="C342" s="5" t="s">
        <v>49</v>
      </c>
      <c r="D342" s="8">
        <v>29</v>
      </c>
      <c r="E342" s="8">
        <v>19</v>
      </c>
      <c r="F342" s="8">
        <v>18</v>
      </c>
      <c r="G342" s="8">
        <v>19</v>
      </c>
      <c r="H342" s="8">
        <v>16</v>
      </c>
      <c r="J342" t="str">
        <f t="shared" si="36"/>
        <v>Norway</v>
      </c>
      <c r="K342" t="s">
        <v>112</v>
      </c>
      <c r="L342" s="16">
        <f t="shared" si="37"/>
        <v>0.28712871287128711</v>
      </c>
      <c r="M342" s="16">
        <f t="shared" si="38"/>
        <v>0.18811881188118812</v>
      </c>
      <c r="N342" s="16">
        <f t="shared" si="39"/>
        <v>0.17821782178217821</v>
      </c>
      <c r="O342" s="16">
        <f t="shared" si="40"/>
        <v>0.18811881188118812</v>
      </c>
      <c r="P342" s="16">
        <f t="shared" si="41"/>
        <v>0.15841584158415842</v>
      </c>
    </row>
    <row r="343" spans="1:16" x14ac:dyDescent="0.3">
      <c r="A343" s="5" t="s">
        <v>86</v>
      </c>
      <c r="B343" s="5" t="s">
        <v>50</v>
      </c>
      <c r="C343" s="5" t="s">
        <v>51</v>
      </c>
      <c r="D343" s="7">
        <v>91</v>
      </c>
      <c r="E343" s="7">
        <v>93</v>
      </c>
      <c r="F343" s="7">
        <v>93</v>
      </c>
      <c r="G343" s="7">
        <v>98</v>
      </c>
      <c r="H343" s="7">
        <v>109</v>
      </c>
      <c r="J343" t="str">
        <f t="shared" si="36"/>
        <v>Norway</v>
      </c>
      <c r="K343" t="s">
        <v>113</v>
      </c>
      <c r="L343" s="16">
        <f t="shared" si="37"/>
        <v>0.18801652892561985</v>
      </c>
      <c r="M343" s="16">
        <f t="shared" si="38"/>
        <v>0.19214876033057851</v>
      </c>
      <c r="N343" s="16">
        <f t="shared" si="39"/>
        <v>0.19214876033057851</v>
      </c>
      <c r="O343" s="16">
        <f t="shared" si="40"/>
        <v>0.2024793388429752</v>
      </c>
      <c r="P343" s="16">
        <f t="shared" si="41"/>
        <v>0.22520661157024793</v>
      </c>
    </row>
    <row r="344" spans="1:16" x14ac:dyDescent="0.3">
      <c r="A344" s="5" t="s">
        <v>86</v>
      </c>
      <c r="B344" s="5" t="s">
        <v>52</v>
      </c>
      <c r="C344" s="5" t="s">
        <v>53</v>
      </c>
      <c r="D344" s="8">
        <v>5</v>
      </c>
      <c r="E344" s="8">
        <v>1</v>
      </c>
      <c r="F344" s="8">
        <v>1</v>
      </c>
      <c r="G344" s="8">
        <v>2</v>
      </c>
      <c r="H344" s="8">
        <v>3</v>
      </c>
      <c r="J344" t="str">
        <f t="shared" si="36"/>
        <v>Norway</v>
      </c>
      <c r="K344" t="s">
        <v>114</v>
      </c>
      <c r="L344" s="16">
        <f t="shared" si="37"/>
        <v>0.41666666666666669</v>
      </c>
      <c r="M344" s="16">
        <f t="shared" si="38"/>
        <v>8.3333333333333329E-2</v>
      </c>
      <c r="N344" s="16">
        <f t="shared" si="39"/>
        <v>8.3333333333333329E-2</v>
      </c>
      <c r="O344" s="16">
        <f t="shared" si="40"/>
        <v>0.16666666666666666</v>
      </c>
      <c r="P344" s="16">
        <f t="shared" si="41"/>
        <v>0.25</v>
      </c>
    </row>
    <row r="345" spans="1:16" x14ac:dyDescent="0.3">
      <c r="A345" s="5" t="s">
        <v>86</v>
      </c>
      <c r="B345" s="5" t="s">
        <v>54</v>
      </c>
      <c r="C345" s="5" t="s">
        <v>55</v>
      </c>
      <c r="D345" s="7">
        <v>36</v>
      </c>
      <c r="E345" s="7">
        <v>35</v>
      </c>
      <c r="F345" s="7">
        <v>31</v>
      </c>
      <c r="G345" s="7">
        <v>35</v>
      </c>
      <c r="H345" s="7">
        <v>39</v>
      </c>
      <c r="J345" t="str">
        <f t="shared" si="36"/>
        <v>Norway</v>
      </c>
      <c r="K345" t="s">
        <v>115</v>
      </c>
      <c r="L345" s="16">
        <f t="shared" si="37"/>
        <v>0.20454545454545456</v>
      </c>
      <c r="M345" s="16">
        <f t="shared" si="38"/>
        <v>0.19886363636363635</v>
      </c>
      <c r="N345" s="16">
        <f t="shared" si="39"/>
        <v>0.17613636363636365</v>
      </c>
      <c r="O345" s="16">
        <f t="shared" si="40"/>
        <v>0.19886363636363635</v>
      </c>
      <c r="P345" s="16">
        <f t="shared" si="41"/>
        <v>0.22159090909090909</v>
      </c>
    </row>
    <row r="346" spans="1:16" x14ac:dyDescent="0.3">
      <c r="A346" s="5" t="s">
        <v>86</v>
      </c>
      <c r="B346" s="5" t="s">
        <v>56</v>
      </c>
      <c r="C346" s="5" t="s">
        <v>57</v>
      </c>
      <c r="D346" s="8">
        <v>49</v>
      </c>
      <c r="E346" s="8">
        <v>63</v>
      </c>
      <c r="F346" s="8">
        <v>61</v>
      </c>
      <c r="G346" s="8">
        <v>65</v>
      </c>
      <c r="H346" s="8">
        <v>66</v>
      </c>
      <c r="J346" t="str">
        <f t="shared" si="36"/>
        <v>Norway</v>
      </c>
      <c r="K346" t="s">
        <v>116</v>
      </c>
      <c r="L346" s="16">
        <f t="shared" si="37"/>
        <v>0.16118421052631579</v>
      </c>
      <c r="M346" s="16">
        <f t="shared" si="38"/>
        <v>0.20723684210526316</v>
      </c>
      <c r="N346" s="16">
        <f t="shared" si="39"/>
        <v>0.20065789473684212</v>
      </c>
      <c r="O346" s="16">
        <f t="shared" si="40"/>
        <v>0.21381578947368421</v>
      </c>
      <c r="P346" s="16">
        <f t="shared" si="41"/>
        <v>0.21710526315789475</v>
      </c>
    </row>
    <row r="347" spans="1:16" x14ac:dyDescent="0.3">
      <c r="A347" s="5" t="s">
        <v>118</v>
      </c>
      <c r="B347" s="5" t="s">
        <v>34</v>
      </c>
      <c r="C347" s="5" t="s">
        <v>35</v>
      </c>
      <c r="D347" s="7">
        <v>134</v>
      </c>
      <c r="E347" s="7">
        <v>138</v>
      </c>
      <c r="F347" s="7">
        <v>129</v>
      </c>
      <c r="G347" s="7">
        <v>123</v>
      </c>
      <c r="H347" s="7">
        <v>103</v>
      </c>
      <c r="J347" t="str">
        <f t="shared" si="36"/>
        <v>UnitedKingdom</v>
      </c>
      <c r="K347" t="s">
        <v>105</v>
      </c>
      <c r="L347" s="16">
        <f t="shared" si="37"/>
        <v>0.21371610845295055</v>
      </c>
      <c r="M347" s="16">
        <f t="shared" si="38"/>
        <v>0.22009569377990432</v>
      </c>
      <c r="N347" s="16">
        <f t="shared" si="39"/>
        <v>0.20574162679425836</v>
      </c>
      <c r="O347" s="16">
        <f t="shared" si="40"/>
        <v>0.19617224880382775</v>
      </c>
      <c r="P347" s="16">
        <f t="shared" si="41"/>
        <v>0.16427432216905902</v>
      </c>
    </row>
    <row r="348" spans="1:16" x14ac:dyDescent="0.3">
      <c r="A348" s="5" t="s">
        <v>118</v>
      </c>
      <c r="B348" s="5" t="s">
        <v>36</v>
      </c>
      <c r="C348" s="5" t="s">
        <v>37</v>
      </c>
      <c r="D348" s="8">
        <v>31</v>
      </c>
      <c r="E348" s="8">
        <v>28</v>
      </c>
      <c r="F348" s="8">
        <v>26</v>
      </c>
      <c r="G348" s="8">
        <v>23</v>
      </c>
      <c r="H348" s="8">
        <v>21</v>
      </c>
      <c r="J348" t="str">
        <f t="shared" si="36"/>
        <v>UnitedKingdom</v>
      </c>
      <c r="K348" t="s">
        <v>106</v>
      </c>
      <c r="L348" s="16">
        <f t="shared" si="37"/>
        <v>0.24031007751937986</v>
      </c>
      <c r="M348" s="16">
        <f t="shared" si="38"/>
        <v>0.21705426356589147</v>
      </c>
      <c r="N348" s="16">
        <f t="shared" si="39"/>
        <v>0.20155038759689922</v>
      </c>
      <c r="O348" s="16">
        <f t="shared" si="40"/>
        <v>0.17829457364341086</v>
      </c>
      <c r="P348" s="16">
        <f t="shared" si="41"/>
        <v>0.16279069767441862</v>
      </c>
    </row>
    <row r="349" spans="1:16" x14ac:dyDescent="0.3">
      <c r="A349" s="5" t="s">
        <v>118</v>
      </c>
      <c r="B349" s="5" t="s">
        <v>38</v>
      </c>
      <c r="C349" s="5" t="s">
        <v>39</v>
      </c>
      <c r="D349" s="7">
        <v>33</v>
      </c>
      <c r="E349" s="7">
        <v>45</v>
      </c>
      <c r="F349" s="7">
        <v>47</v>
      </c>
      <c r="G349" s="7">
        <v>53</v>
      </c>
      <c r="H349" s="7">
        <v>56</v>
      </c>
      <c r="J349" t="str">
        <f t="shared" si="36"/>
        <v>UnitedKingdom</v>
      </c>
      <c r="K349" t="s">
        <v>107</v>
      </c>
      <c r="L349" s="16">
        <f t="shared" si="37"/>
        <v>0.14102564102564102</v>
      </c>
      <c r="M349" s="16">
        <f t="shared" si="38"/>
        <v>0.19230769230769232</v>
      </c>
      <c r="N349" s="16">
        <f t="shared" si="39"/>
        <v>0.20085470085470086</v>
      </c>
      <c r="O349" s="16">
        <f t="shared" si="40"/>
        <v>0.2264957264957265</v>
      </c>
      <c r="P349" s="16">
        <f t="shared" si="41"/>
        <v>0.23931623931623933</v>
      </c>
    </row>
    <row r="350" spans="1:16" x14ac:dyDescent="0.3">
      <c r="A350" s="5" t="s">
        <v>118</v>
      </c>
      <c r="B350" s="5" t="s">
        <v>40</v>
      </c>
      <c r="C350" s="5" t="s">
        <v>41</v>
      </c>
      <c r="D350" s="8">
        <v>398</v>
      </c>
      <c r="E350" s="8">
        <v>269</v>
      </c>
      <c r="F350" s="8">
        <v>186</v>
      </c>
      <c r="G350" s="8">
        <v>150</v>
      </c>
      <c r="H350" s="8">
        <v>116</v>
      </c>
      <c r="J350" t="str">
        <f t="shared" si="36"/>
        <v>UnitedKingdom</v>
      </c>
      <c r="K350" t="s">
        <v>108</v>
      </c>
      <c r="L350" s="16">
        <f t="shared" si="37"/>
        <v>0.355674709562109</v>
      </c>
      <c r="M350" s="16">
        <f t="shared" si="38"/>
        <v>0.24039320822162646</v>
      </c>
      <c r="N350" s="16">
        <f t="shared" si="39"/>
        <v>0.16621983914209115</v>
      </c>
      <c r="O350" s="16">
        <f t="shared" si="40"/>
        <v>0.13404825737265416</v>
      </c>
      <c r="P350" s="16">
        <f t="shared" si="41"/>
        <v>0.10366398570151922</v>
      </c>
    </row>
    <row r="351" spans="1:16" x14ac:dyDescent="0.3">
      <c r="A351" s="5" t="s">
        <v>118</v>
      </c>
      <c r="B351" s="5" t="s">
        <v>42</v>
      </c>
      <c r="C351" s="5" t="s">
        <v>43</v>
      </c>
      <c r="D351" s="7">
        <v>61</v>
      </c>
      <c r="E351" s="7">
        <v>72</v>
      </c>
      <c r="F351" s="7">
        <v>75</v>
      </c>
      <c r="G351" s="7">
        <v>76</v>
      </c>
      <c r="H351" s="7">
        <v>81</v>
      </c>
      <c r="J351" t="str">
        <f t="shared" si="36"/>
        <v>UnitedKingdom</v>
      </c>
      <c r="K351" t="s">
        <v>109</v>
      </c>
      <c r="L351" s="16">
        <f t="shared" si="37"/>
        <v>0.16712328767123288</v>
      </c>
      <c r="M351" s="16">
        <f t="shared" si="38"/>
        <v>0.19726027397260273</v>
      </c>
      <c r="N351" s="16">
        <f t="shared" si="39"/>
        <v>0.20547945205479451</v>
      </c>
      <c r="O351" s="16">
        <f t="shared" si="40"/>
        <v>0.20821917808219179</v>
      </c>
      <c r="P351" s="16">
        <f t="shared" si="41"/>
        <v>0.22191780821917809</v>
      </c>
    </row>
    <row r="352" spans="1:16" x14ac:dyDescent="0.3">
      <c r="A352" s="5" t="s">
        <v>118</v>
      </c>
      <c r="B352" s="5" t="s">
        <v>44</v>
      </c>
      <c r="C352" s="5" t="s">
        <v>45</v>
      </c>
      <c r="D352" s="8">
        <v>12</v>
      </c>
      <c r="E352" s="8">
        <v>13</v>
      </c>
      <c r="F352" s="8">
        <v>18</v>
      </c>
      <c r="G352" s="8">
        <v>15</v>
      </c>
      <c r="H352" s="8">
        <v>16</v>
      </c>
      <c r="J352" t="str">
        <f t="shared" si="36"/>
        <v>UnitedKingdom</v>
      </c>
      <c r="K352" t="s">
        <v>110</v>
      </c>
      <c r="L352" s="16">
        <f t="shared" si="37"/>
        <v>0.16216216216216217</v>
      </c>
      <c r="M352" s="16">
        <f t="shared" si="38"/>
        <v>0.17567567567567569</v>
      </c>
      <c r="N352" s="16">
        <f t="shared" si="39"/>
        <v>0.24324324324324326</v>
      </c>
      <c r="O352" s="16">
        <f t="shared" si="40"/>
        <v>0.20270270270270271</v>
      </c>
      <c r="P352" s="16">
        <f t="shared" si="41"/>
        <v>0.21621621621621623</v>
      </c>
    </row>
    <row r="353" spans="1:16" x14ac:dyDescent="0.3">
      <c r="A353" s="5" t="s">
        <v>118</v>
      </c>
      <c r="B353" s="5" t="s">
        <v>46</v>
      </c>
      <c r="C353" s="5" t="s">
        <v>47</v>
      </c>
      <c r="D353" s="7">
        <v>83</v>
      </c>
      <c r="E353" s="7">
        <v>118</v>
      </c>
      <c r="F353" s="7">
        <v>145</v>
      </c>
      <c r="G353" s="7">
        <v>169</v>
      </c>
      <c r="H353" s="7">
        <v>186</v>
      </c>
      <c r="J353" t="str">
        <f t="shared" si="36"/>
        <v>UnitedKingdom</v>
      </c>
      <c r="K353" t="s">
        <v>111</v>
      </c>
      <c r="L353" s="16">
        <f t="shared" si="37"/>
        <v>0.11840228245363767</v>
      </c>
      <c r="M353" s="16">
        <f t="shared" si="38"/>
        <v>0.16833095577746077</v>
      </c>
      <c r="N353" s="16">
        <f t="shared" si="39"/>
        <v>0.20684736091298145</v>
      </c>
      <c r="O353" s="16">
        <f t="shared" si="40"/>
        <v>0.24108416547788872</v>
      </c>
      <c r="P353" s="16">
        <f t="shared" si="41"/>
        <v>0.26533523537803139</v>
      </c>
    </row>
    <row r="354" spans="1:16" x14ac:dyDescent="0.3">
      <c r="A354" s="5" t="s">
        <v>118</v>
      </c>
      <c r="B354" s="5" t="s">
        <v>48</v>
      </c>
      <c r="C354" s="5" t="s">
        <v>49</v>
      </c>
      <c r="D354" s="8">
        <v>34</v>
      </c>
      <c r="E354" s="8">
        <v>38</v>
      </c>
      <c r="F354" s="8">
        <v>38</v>
      </c>
      <c r="G354" s="8">
        <v>36</v>
      </c>
      <c r="H354" s="8">
        <v>28</v>
      </c>
      <c r="J354" t="str">
        <f t="shared" si="36"/>
        <v>UnitedKingdom</v>
      </c>
      <c r="K354" t="s">
        <v>112</v>
      </c>
      <c r="L354" s="16">
        <f t="shared" si="37"/>
        <v>0.19540229885057472</v>
      </c>
      <c r="M354" s="16">
        <f t="shared" si="38"/>
        <v>0.21839080459770116</v>
      </c>
      <c r="N354" s="16">
        <f t="shared" si="39"/>
        <v>0.21839080459770116</v>
      </c>
      <c r="O354" s="16">
        <f t="shared" si="40"/>
        <v>0.20689655172413793</v>
      </c>
      <c r="P354" s="16">
        <f t="shared" si="41"/>
        <v>0.16091954022988506</v>
      </c>
    </row>
    <row r="355" spans="1:16" x14ac:dyDescent="0.3">
      <c r="A355" s="5" t="s">
        <v>118</v>
      </c>
      <c r="B355" s="5" t="s">
        <v>50</v>
      </c>
      <c r="C355" s="5" t="s">
        <v>51</v>
      </c>
      <c r="D355" s="7">
        <v>93</v>
      </c>
      <c r="E355" s="7">
        <v>119</v>
      </c>
      <c r="F355" s="7">
        <v>146</v>
      </c>
      <c r="G355" s="7">
        <v>159</v>
      </c>
      <c r="H355" s="7">
        <v>160</v>
      </c>
      <c r="J355" t="str">
        <f t="shared" si="36"/>
        <v>UnitedKingdom</v>
      </c>
      <c r="K355" t="s">
        <v>113</v>
      </c>
      <c r="L355" s="16">
        <f t="shared" si="37"/>
        <v>0.13737075332348597</v>
      </c>
      <c r="M355" s="16">
        <f t="shared" si="38"/>
        <v>0.17577548005908419</v>
      </c>
      <c r="N355" s="16">
        <f t="shared" si="39"/>
        <v>0.21565731166912852</v>
      </c>
      <c r="O355" s="16">
        <f t="shared" si="40"/>
        <v>0.23485967503692762</v>
      </c>
      <c r="P355" s="16">
        <f t="shared" si="41"/>
        <v>0.2363367799113737</v>
      </c>
    </row>
    <row r="356" spans="1:16" x14ac:dyDescent="0.3">
      <c r="A356" s="5" t="s">
        <v>118</v>
      </c>
      <c r="B356" s="5" t="s">
        <v>52</v>
      </c>
      <c r="C356" s="5" t="s">
        <v>53</v>
      </c>
      <c r="D356" s="8">
        <v>11</v>
      </c>
      <c r="E356" s="8">
        <v>4</v>
      </c>
      <c r="F356" s="8">
        <v>10</v>
      </c>
      <c r="G356" s="8">
        <v>9</v>
      </c>
      <c r="H356" s="8">
        <v>27</v>
      </c>
      <c r="J356" t="str">
        <f t="shared" si="36"/>
        <v>UnitedKingdom</v>
      </c>
      <c r="K356" t="s">
        <v>114</v>
      </c>
      <c r="L356" s="16">
        <f t="shared" si="37"/>
        <v>0.18032786885245902</v>
      </c>
      <c r="M356" s="16">
        <f t="shared" si="38"/>
        <v>6.5573770491803282E-2</v>
      </c>
      <c r="N356" s="16">
        <f t="shared" si="39"/>
        <v>0.16393442622950818</v>
      </c>
      <c r="O356" s="16">
        <f t="shared" si="40"/>
        <v>0.14754098360655737</v>
      </c>
      <c r="P356" s="16">
        <f t="shared" si="41"/>
        <v>0.44262295081967212</v>
      </c>
    </row>
    <row r="357" spans="1:16" x14ac:dyDescent="0.3">
      <c r="A357" s="5" t="s">
        <v>118</v>
      </c>
      <c r="B357" s="5" t="s">
        <v>54</v>
      </c>
      <c r="C357" s="5" t="s">
        <v>55</v>
      </c>
      <c r="D357" s="7">
        <v>54</v>
      </c>
      <c r="E357" s="7">
        <v>77</v>
      </c>
      <c r="F357" s="7">
        <v>93</v>
      </c>
      <c r="G357" s="7">
        <v>102</v>
      </c>
      <c r="H357" s="7">
        <v>114</v>
      </c>
      <c r="J357" t="str">
        <f t="shared" si="36"/>
        <v>UnitedKingdom</v>
      </c>
      <c r="K357" t="s">
        <v>115</v>
      </c>
      <c r="L357" s="16">
        <f t="shared" si="37"/>
        <v>0.12272727272727273</v>
      </c>
      <c r="M357" s="16">
        <f t="shared" si="38"/>
        <v>0.17499999999999999</v>
      </c>
      <c r="N357" s="16">
        <f t="shared" si="39"/>
        <v>0.21136363636363636</v>
      </c>
      <c r="O357" s="16">
        <f t="shared" si="40"/>
        <v>0.23181818181818181</v>
      </c>
      <c r="P357" s="16">
        <f t="shared" si="41"/>
        <v>0.25909090909090909</v>
      </c>
    </row>
    <row r="358" spans="1:16" x14ac:dyDescent="0.3">
      <c r="A358" s="5" t="s">
        <v>118</v>
      </c>
      <c r="B358" s="5" t="s">
        <v>56</v>
      </c>
      <c r="C358" s="5" t="s">
        <v>57</v>
      </c>
      <c r="D358" s="8">
        <v>58</v>
      </c>
      <c r="E358" s="8">
        <v>79</v>
      </c>
      <c r="F358" s="8">
        <v>86</v>
      </c>
      <c r="G358" s="8">
        <v>85</v>
      </c>
      <c r="H358" s="8">
        <v>92</v>
      </c>
      <c r="J358" t="str">
        <f t="shared" si="36"/>
        <v>UnitedKingdom</v>
      </c>
      <c r="K358" t="s">
        <v>116</v>
      </c>
      <c r="L358" s="16">
        <f t="shared" si="37"/>
        <v>0.14499999999999999</v>
      </c>
      <c r="M358" s="16">
        <f t="shared" si="38"/>
        <v>0.19750000000000001</v>
      </c>
      <c r="N358" s="16">
        <f t="shared" si="39"/>
        <v>0.215</v>
      </c>
      <c r="O358" s="16">
        <f t="shared" si="40"/>
        <v>0.21249999999999999</v>
      </c>
      <c r="P358" s="16">
        <f t="shared" si="41"/>
        <v>0.23</v>
      </c>
    </row>
    <row r="359" spans="1:16" x14ac:dyDescent="0.3">
      <c r="A359" s="5" t="s">
        <v>88</v>
      </c>
      <c r="B359" s="5" t="s">
        <v>34</v>
      </c>
      <c r="C359" s="5" t="s">
        <v>35</v>
      </c>
      <c r="D359" s="7">
        <v>351</v>
      </c>
      <c r="E359" s="7">
        <v>306</v>
      </c>
      <c r="F359" s="7">
        <v>293</v>
      </c>
      <c r="G359" s="7">
        <v>284</v>
      </c>
      <c r="H359" s="7">
        <v>250</v>
      </c>
      <c r="J359" t="str">
        <f t="shared" si="36"/>
        <v>Montenegro</v>
      </c>
      <c r="K359" t="s">
        <v>105</v>
      </c>
      <c r="L359" s="16">
        <f t="shared" si="37"/>
        <v>0.23652291105121293</v>
      </c>
      <c r="M359" s="16">
        <f t="shared" si="38"/>
        <v>0.20619946091644206</v>
      </c>
      <c r="N359" s="16">
        <f t="shared" si="39"/>
        <v>0.19743935309973046</v>
      </c>
      <c r="O359" s="16">
        <f t="shared" si="40"/>
        <v>0.19137466307277629</v>
      </c>
      <c r="P359" s="16">
        <f t="shared" si="41"/>
        <v>0.16846361185983827</v>
      </c>
    </row>
    <row r="360" spans="1:16" x14ac:dyDescent="0.3">
      <c r="A360" s="5" t="s">
        <v>88</v>
      </c>
      <c r="B360" s="5" t="s">
        <v>36</v>
      </c>
      <c r="C360" s="5" t="s">
        <v>37</v>
      </c>
      <c r="D360" s="8">
        <v>28</v>
      </c>
      <c r="E360" s="8">
        <v>34</v>
      </c>
      <c r="F360" s="8">
        <v>27</v>
      </c>
      <c r="G360" s="8">
        <v>33</v>
      </c>
      <c r="H360" s="8">
        <v>31</v>
      </c>
      <c r="J360" t="str">
        <f t="shared" si="36"/>
        <v>Montenegro</v>
      </c>
      <c r="K360" t="s">
        <v>106</v>
      </c>
      <c r="L360" s="16">
        <f t="shared" si="37"/>
        <v>0.18300653594771241</v>
      </c>
      <c r="M360" s="16">
        <f t="shared" si="38"/>
        <v>0.22222222222222221</v>
      </c>
      <c r="N360" s="16">
        <f t="shared" si="39"/>
        <v>0.17647058823529413</v>
      </c>
      <c r="O360" s="16">
        <f t="shared" si="40"/>
        <v>0.21568627450980393</v>
      </c>
      <c r="P360" s="16">
        <f t="shared" si="41"/>
        <v>0.20261437908496732</v>
      </c>
    </row>
    <row r="361" spans="1:16" x14ac:dyDescent="0.3">
      <c r="A361" s="5" t="s">
        <v>88</v>
      </c>
      <c r="B361" s="5" t="s">
        <v>38</v>
      </c>
      <c r="C361" s="5" t="s">
        <v>39</v>
      </c>
      <c r="D361" s="7">
        <v>30</v>
      </c>
      <c r="E361" s="7">
        <v>47</v>
      </c>
      <c r="F361" s="7">
        <v>63</v>
      </c>
      <c r="G361" s="7">
        <v>83</v>
      </c>
      <c r="H361" s="7">
        <v>92</v>
      </c>
      <c r="J361" t="str">
        <f t="shared" si="36"/>
        <v>Montenegro</v>
      </c>
      <c r="K361" t="s">
        <v>107</v>
      </c>
      <c r="L361" s="16">
        <f t="shared" si="37"/>
        <v>9.5238095238095233E-2</v>
      </c>
      <c r="M361" s="16">
        <f t="shared" si="38"/>
        <v>0.1492063492063492</v>
      </c>
      <c r="N361" s="16">
        <f t="shared" si="39"/>
        <v>0.2</v>
      </c>
      <c r="O361" s="16">
        <f t="shared" si="40"/>
        <v>0.2634920634920635</v>
      </c>
      <c r="P361" s="16">
        <f t="shared" si="41"/>
        <v>0.29206349206349208</v>
      </c>
    </row>
    <row r="362" spans="1:16" x14ac:dyDescent="0.3">
      <c r="A362" s="5" t="s">
        <v>88</v>
      </c>
      <c r="B362" s="5" t="s">
        <v>40</v>
      </c>
      <c r="C362" s="5" t="s">
        <v>41</v>
      </c>
      <c r="D362" s="8">
        <v>333</v>
      </c>
      <c r="E362" s="8">
        <v>353</v>
      </c>
      <c r="F362" s="8">
        <v>315</v>
      </c>
      <c r="G362" s="8">
        <v>278</v>
      </c>
      <c r="H362" s="8">
        <v>251</v>
      </c>
      <c r="J362" t="str">
        <f t="shared" si="36"/>
        <v>Montenegro</v>
      </c>
      <c r="K362" t="s">
        <v>108</v>
      </c>
      <c r="L362" s="16">
        <f t="shared" si="37"/>
        <v>0.21764705882352942</v>
      </c>
      <c r="M362" s="16">
        <f t="shared" si="38"/>
        <v>0.23071895424836603</v>
      </c>
      <c r="N362" s="16">
        <f t="shared" si="39"/>
        <v>0.20588235294117646</v>
      </c>
      <c r="O362" s="16">
        <f t="shared" si="40"/>
        <v>0.18169934640522875</v>
      </c>
      <c r="P362" s="16">
        <f t="shared" si="41"/>
        <v>0.16405228758169935</v>
      </c>
    </row>
    <row r="363" spans="1:16" x14ac:dyDescent="0.3">
      <c r="A363" s="5" t="s">
        <v>88</v>
      </c>
      <c r="B363" s="5" t="s">
        <v>42</v>
      </c>
      <c r="C363" s="5" t="s">
        <v>43</v>
      </c>
      <c r="D363" s="7">
        <v>29</v>
      </c>
      <c r="E363" s="7">
        <v>24</v>
      </c>
      <c r="F363" s="7">
        <v>28</v>
      </c>
      <c r="G363" s="7">
        <v>31</v>
      </c>
      <c r="H363" s="7">
        <v>40</v>
      </c>
      <c r="J363" t="str">
        <f t="shared" si="36"/>
        <v>Montenegro</v>
      </c>
      <c r="K363" t="s">
        <v>109</v>
      </c>
      <c r="L363" s="16">
        <f t="shared" si="37"/>
        <v>0.19078947368421054</v>
      </c>
      <c r="M363" s="16">
        <f t="shared" si="38"/>
        <v>0.15789473684210525</v>
      </c>
      <c r="N363" s="16">
        <f t="shared" si="39"/>
        <v>0.18421052631578946</v>
      </c>
      <c r="O363" s="16">
        <f t="shared" si="40"/>
        <v>0.20394736842105263</v>
      </c>
      <c r="P363" s="16">
        <f t="shared" si="41"/>
        <v>0.26315789473684209</v>
      </c>
    </row>
    <row r="364" spans="1:16" x14ac:dyDescent="0.3">
      <c r="A364" s="5" t="s">
        <v>88</v>
      </c>
      <c r="B364" s="5" t="s">
        <v>44</v>
      </c>
      <c r="C364" s="5" t="s">
        <v>45</v>
      </c>
      <c r="D364" s="8">
        <v>46</v>
      </c>
      <c r="E364" s="8">
        <v>38</v>
      </c>
      <c r="F364" s="8">
        <v>40</v>
      </c>
      <c r="G364" s="8">
        <v>29</v>
      </c>
      <c r="H364" s="8">
        <v>33</v>
      </c>
      <c r="J364" t="str">
        <f t="shared" si="36"/>
        <v>Montenegro</v>
      </c>
      <c r="K364" t="s">
        <v>110</v>
      </c>
      <c r="L364" s="16">
        <f t="shared" si="37"/>
        <v>0.24731182795698925</v>
      </c>
      <c r="M364" s="16">
        <f t="shared" si="38"/>
        <v>0.20430107526881722</v>
      </c>
      <c r="N364" s="16">
        <f t="shared" si="39"/>
        <v>0.21505376344086022</v>
      </c>
      <c r="O364" s="16">
        <f t="shared" si="40"/>
        <v>0.15591397849462366</v>
      </c>
      <c r="P364" s="16">
        <f t="shared" si="41"/>
        <v>0.17741935483870969</v>
      </c>
    </row>
    <row r="365" spans="1:16" x14ac:dyDescent="0.3">
      <c r="A365" s="5" t="s">
        <v>88</v>
      </c>
      <c r="B365" s="5" t="s">
        <v>46</v>
      </c>
      <c r="C365" s="5" t="s">
        <v>47</v>
      </c>
      <c r="D365" s="7">
        <v>58</v>
      </c>
      <c r="E365" s="7">
        <v>74</v>
      </c>
      <c r="F365" s="7">
        <v>83</v>
      </c>
      <c r="G365" s="7">
        <v>95</v>
      </c>
      <c r="H365" s="7">
        <v>102</v>
      </c>
      <c r="J365" t="str">
        <f t="shared" si="36"/>
        <v>Montenegro</v>
      </c>
      <c r="K365" t="s">
        <v>111</v>
      </c>
      <c r="L365" s="16">
        <f t="shared" si="37"/>
        <v>0.14077669902912621</v>
      </c>
      <c r="M365" s="16">
        <f t="shared" si="38"/>
        <v>0.1796116504854369</v>
      </c>
      <c r="N365" s="16">
        <f t="shared" si="39"/>
        <v>0.20145631067961164</v>
      </c>
      <c r="O365" s="16">
        <f t="shared" si="40"/>
        <v>0.23058252427184467</v>
      </c>
      <c r="P365" s="16">
        <f t="shared" si="41"/>
        <v>0.24757281553398058</v>
      </c>
    </row>
    <row r="366" spans="1:16" x14ac:dyDescent="0.3">
      <c r="A366" s="5" t="s">
        <v>88</v>
      </c>
      <c r="B366" s="5" t="s">
        <v>48</v>
      </c>
      <c r="C366" s="5" t="s">
        <v>49</v>
      </c>
      <c r="D366" s="8">
        <v>39</v>
      </c>
      <c r="E366" s="8">
        <v>40</v>
      </c>
      <c r="F366" s="8">
        <v>49</v>
      </c>
      <c r="G366" s="8">
        <v>47</v>
      </c>
      <c r="H366" s="8">
        <v>54</v>
      </c>
      <c r="J366" t="str">
        <f t="shared" si="36"/>
        <v>Montenegro</v>
      </c>
      <c r="K366" t="s">
        <v>112</v>
      </c>
      <c r="L366" s="16">
        <f t="shared" si="37"/>
        <v>0.1703056768558952</v>
      </c>
      <c r="M366" s="16">
        <f t="shared" si="38"/>
        <v>0.17467248908296942</v>
      </c>
      <c r="N366" s="16">
        <f t="shared" si="39"/>
        <v>0.21397379912663755</v>
      </c>
      <c r="O366" s="16">
        <f t="shared" si="40"/>
        <v>0.20524017467248909</v>
      </c>
      <c r="P366" s="16">
        <f t="shared" si="41"/>
        <v>0.23580786026200873</v>
      </c>
    </row>
    <row r="367" spans="1:16" x14ac:dyDescent="0.3">
      <c r="A367" s="5" t="s">
        <v>88</v>
      </c>
      <c r="B367" s="5" t="s">
        <v>50</v>
      </c>
      <c r="C367" s="5" t="s">
        <v>51</v>
      </c>
      <c r="D367" s="7">
        <v>18</v>
      </c>
      <c r="E367" s="7">
        <v>23</v>
      </c>
      <c r="F367" s="7">
        <v>28</v>
      </c>
      <c r="G367" s="7">
        <v>27</v>
      </c>
      <c r="H367" s="7">
        <v>37</v>
      </c>
      <c r="J367" t="str">
        <f t="shared" si="36"/>
        <v>Montenegro</v>
      </c>
      <c r="K367" t="s">
        <v>113</v>
      </c>
      <c r="L367" s="16">
        <f t="shared" si="37"/>
        <v>0.13533834586466165</v>
      </c>
      <c r="M367" s="16">
        <f t="shared" si="38"/>
        <v>0.17293233082706766</v>
      </c>
      <c r="N367" s="16">
        <f t="shared" si="39"/>
        <v>0.21052631578947367</v>
      </c>
      <c r="O367" s="16">
        <f t="shared" si="40"/>
        <v>0.20300751879699247</v>
      </c>
      <c r="P367" s="16">
        <f t="shared" si="41"/>
        <v>0.2781954887218045</v>
      </c>
    </row>
    <row r="368" spans="1:16" x14ac:dyDescent="0.3">
      <c r="A368" s="5" t="s">
        <v>88</v>
      </c>
      <c r="B368" s="5" t="s">
        <v>52</v>
      </c>
      <c r="C368" s="5" t="s">
        <v>53</v>
      </c>
      <c r="D368" s="8">
        <v>21</v>
      </c>
      <c r="E368" s="8">
        <v>6</v>
      </c>
      <c r="F368" s="8">
        <v>16</v>
      </c>
      <c r="G368" s="8">
        <v>22</v>
      </c>
      <c r="H368" s="8">
        <v>29</v>
      </c>
      <c r="J368" t="str">
        <f t="shared" si="36"/>
        <v>Montenegro</v>
      </c>
      <c r="K368" t="s">
        <v>114</v>
      </c>
      <c r="L368" s="16">
        <f t="shared" si="37"/>
        <v>0.22340425531914893</v>
      </c>
      <c r="M368" s="16">
        <f t="shared" si="38"/>
        <v>6.3829787234042548E-2</v>
      </c>
      <c r="N368" s="16">
        <f t="shared" si="39"/>
        <v>0.1702127659574468</v>
      </c>
      <c r="O368" s="16">
        <f t="shared" si="40"/>
        <v>0.23404255319148937</v>
      </c>
      <c r="P368" s="16">
        <f t="shared" si="41"/>
        <v>0.30851063829787234</v>
      </c>
    </row>
    <row r="369" spans="1:16" x14ac:dyDescent="0.3">
      <c r="A369" s="5" t="s">
        <v>88</v>
      </c>
      <c r="B369" s="5" t="s">
        <v>54</v>
      </c>
      <c r="C369" s="5" t="s">
        <v>55</v>
      </c>
      <c r="D369" s="7">
        <v>15</v>
      </c>
      <c r="E369" s="7">
        <v>19</v>
      </c>
      <c r="F369" s="7">
        <v>21</v>
      </c>
      <c r="G369" s="7">
        <v>29</v>
      </c>
      <c r="H369" s="7">
        <v>31</v>
      </c>
      <c r="J369" t="str">
        <f t="shared" si="36"/>
        <v>Montenegro</v>
      </c>
      <c r="K369" t="s">
        <v>115</v>
      </c>
      <c r="L369" s="16">
        <f t="shared" si="37"/>
        <v>0.13043478260869565</v>
      </c>
      <c r="M369" s="16">
        <f t="shared" si="38"/>
        <v>0.16521739130434782</v>
      </c>
      <c r="N369" s="16">
        <f t="shared" si="39"/>
        <v>0.18260869565217391</v>
      </c>
      <c r="O369" s="16">
        <f t="shared" si="40"/>
        <v>0.25217391304347825</v>
      </c>
      <c r="P369" s="16">
        <f t="shared" si="41"/>
        <v>0.26956521739130435</v>
      </c>
    </row>
    <row r="370" spans="1:16" x14ac:dyDescent="0.3">
      <c r="A370" s="5" t="s">
        <v>88</v>
      </c>
      <c r="B370" s="5" t="s">
        <v>56</v>
      </c>
      <c r="C370" s="5" t="s">
        <v>57</v>
      </c>
      <c r="D370" s="8">
        <v>32</v>
      </c>
      <c r="E370" s="8">
        <v>35</v>
      </c>
      <c r="F370" s="8">
        <v>38</v>
      </c>
      <c r="G370" s="8">
        <v>42</v>
      </c>
      <c r="H370" s="8">
        <v>50</v>
      </c>
      <c r="J370" t="str">
        <f t="shared" si="36"/>
        <v>Montenegro</v>
      </c>
      <c r="K370" t="s">
        <v>116</v>
      </c>
      <c r="L370" s="16">
        <f t="shared" si="37"/>
        <v>0.16243654822335024</v>
      </c>
      <c r="M370" s="16">
        <f t="shared" si="38"/>
        <v>0.17766497461928935</v>
      </c>
      <c r="N370" s="16">
        <f t="shared" si="39"/>
        <v>0.19289340101522842</v>
      </c>
      <c r="O370" s="16">
        <f t="shared" si="40"/>
        <v>0.21319796954314721</v>
      </c>
      <c r="P370" s="16">
        <f t="shared" si="41"/>
        <v>0.25380710659898476</v>
      </c>
    </row>
    <row r="371" spans="1:16" x14ac:dyDescent="0.3">
      <c r="A371" s="5" t="s">
        <v>119</v>
      </c>
      <c r="B371" s="5" t="s">
        <v>34</v>
      </c>
      <c r="C371" s="5" t="s">
        <v>35</v>
      </c>
      <c r="D371" s="7">
        <v>527</v>
      </c>
      <c r="E371" s="7">
        <v>487</v>
      </c>
      <c r="F371" s="7">
        <v>462</v>
      </c>
      <c r="G371" s="7">
        <v>429</v>
      </c>
      <c r="H371" s="7">
        <v>368</v>
      </c>
      <c r="J371" t="str">
        <f t="shared" si="36"/>
        <v>NorthMacedonia</v>
      </c>
      <c r="K371" t="s">
        <v>105</v>
      </c>
      <c r="L371" s="16">
        <f t="shared" si="37"/>
        <v>0.23185217773867137</v>
      </c>
      <c r="M371" s="16">
        <f t="shared" si="38"/>
        <v>0.21425428948526176</v>
      </c>
      <c r="N371" s="16">
        <f t="shared" si="39"/>
        <v>0.20325560932688078</v>
      </c>
      <c r="O371" s="16">
        <f t="shared" si="40"/>
        <v>0.18873735151781787</v>
      </c>
      <c r="P371" s="16">
        <f t="shared" si="41"/>
        <v>0.16190057193136823</v>
      </c>
    </row>
    <row r="372" spans="1:16" x14ac:dyDescent="0.3">
      <c r="A372" s="5" t="s">
        <v>119</v>
      </c>
      <c r="B372" s="5" t="s">
        <v>36</v>
      </c>
      <c r="C372" s="5" t="s">
        <v>37</v>
      </c>
      <c r="D372" s="8">
        <v>33</v>
      </c>
      <c r="E372" s="8">
        <v>43</v>
      </c>
      <c r="F372" s="8">
        <v>39</v>
      </c>
      <c r="G372" s="8">
        <v>44</v>
      </c>
      <c r="H372" s="8">
        <v>38</v>
      </c>
      <c r="J372" t="str">
        <f t="shared" si="36"/>
        <v>NorthMacedonia</v>
      </c>
      <c r="K372" t="s">
        <v>106</v>
      </c>
      <c r="L372" s="16">
        <f t="shared" si="37"/>
        <v>0.16751269035532995</v>
      </c>
      <c r="M372" s="16">
        <f t="shared" si="38"/>
        <v>0.21827411167512689</v>
      </c>
      <c r="N372" s="16">
        <f t="shared" si="39"/>
        <v>0.19796954314720813</v>
      </c>
      <c r="O372" s="16">
        <f t="shared" si="40"/>
        <v>0.2233502538071066</v>
      </c>
      <c r="P372" s="16">
        <f t="shared" si="41"/>
        <v>0.19289340101522842</v>
      </c>
    </row>
    <row r="373" spans="1:16" x14ac:dyDescent="0.3">
      <c r="A373" s="5" t="s">
        <v>119</v>
      </c>
      <c r="B373" s="5" t="s">
        <v>38</v>
      </c>
      <c r="C373" s="5" t="s">
        <v>39</v>
      </c>
      <c r="D373" s="7">
        <v>36</v>
      </c>
      <c r="E373" s="7">
        <v>53</v>
      </c>
      <c r="F373" s="7">
        <v>59</v>
      </c>
      <c r="G373" s="7">
        <v>64</v>
      </c>
      <c r="H373" s="7">
        <v>86</v>
      </c>
      <c r="J373" t="str">
        <f t="shared" si="36"/>
        <v>NorthMacedonia</v>
      </c>
      <c r="K373" t="s">
        <v>107</v>
      </c>
      <c r="L373" s="16">
        <f t="shared" si="37"/>
        <v>0.12080536912751678</v>
      </c>
      <c r="M373" s="16">
        <f t="shared" si="38"/>
        <v>0.17785234899328858</v>
      </c>
      <c r="N373" s="16">
        <f t="shared" si="39"/>
        <v>0.19798657718120805</v>
      </c>
      <c r="O373" s="16">
        <f t="shared" si="40"/>
        <v>0.21476510067114093</v>
      </c>
      <c r="P373" s="16">
        <f t="shared" si="41"/>
        <v>0.28859060402684567</v>
      </c>
    </row>
    <row r="374" spans="1:16" x14ac:dyDescent="0.3">
      <c r="A374" s="5" t="s">
        <v>119</v>
      </c>
      <c r="B374" s="5" t="s">
        <v>40</v>
      </c>
      <c r="C374" s="5" t="s">
        <v>41</v>
      </c>
      <c r="D374" s="8">
        <v>162</v>
      </c>
      <c r="E374" s="8">
        <v>175</v>
      </c>
      <c r="F374" s="8">
        <v>141</v>
      </c>
      <c r="G374" s="8">
        <v>148</v>
      </c>
      <c r="H374" s="8">
        <v>154</v>
      </c>
      <c r="J374" t="str">
        <f t="shared" si="36"/>
        <v>NorthMacedonia</v>
      </c>
      <c r="K374" t="s">
        <v>108</v>
      </c>
      <c r="L374" s="16">
        <f t="shared" si="37"/>
        <v>0.2076923076923077</v>
      </c>
      <c r="M374" s="16">
        <f t="shared" si="38"/>
        <v>0.22435897435897437</v>
      </c>
      <c r="N374" s="16">
        <f t="shared" si="39"/>
        <v>0.18076923076923077</v>
      </c>
      <c r="O374" s="16">
        <f t="shared" si="40"/>
        <v>0.18974358974358974</v>
      </c>
      <c r="P374" s="16">
        <f t="shared" si="41"/>
        <v>0.19743589743589743</v>
      </c>
    </row>
    <row r="375" spans="1:16" x14ac:dyDescent="0.3">
      <c r="A375" s="5" t="s">
        <v>119</v>
      </c>
      <c r="B375" s="5" t="s">
        <v>42</v>
      </c>
      <c r="C375" s="5" t="s">
        <v>43</v>
      </c>
      <c r="D375" s="7">
        <v>41</v>
      </c>
      <c r="E375" s="7">
        <v>37</v>
      </c>
      <c r="F375" s="7">
        <v>59</v>
      </c>
      <c r="G375" s="7">
        <v>45</v>
      </c>
      <c r="H375" s="7">
        <v>65</v>
      </c>
      <c r="J375" t="str">
        <f t="shared" si="36"/>
        <v>NorthMacedonia</v>
      </c>
      <c r="K375" t="s">
        <v>109</v>
      </c>
      <c r="L375" s="16">
        <f t="shared" si="37"/>
        <v>0.16599190283400811</v>
      </c>
      <c r="M375" s="16">
        <f t="shared" si="38"/>
        <v>0.14979757085020243</v>
      </c>
      <c r="N375" s="16">
        <f t="shared" si="39"/>
        <v>0.23886639676113361</v>
      </c>
      <c r="O375" s="16">
        <f t="shared" si="40"/>
        <v>0.18218623481781376</v>
      </c>
      <c r="P375" s="16">
        <f t="shared" si="41"/>
        <v>0.26315789473684209</v>
      </c>
    </row>
    <row r="376" spans="1:16" x14ac:dyDescent="0.3">
      <c r="A376" s="5" t="s">
        <v>119</v>
      </c>
      <c r="B376" s="5" t="s">
        <v>44</v>
      </c>
      <c r="C376" s="5" t="s">
        <v>45</v>
      </c>
      <c r="D376" s="8">
        <v>65</v>
      </c>
      <c r="E376" s="8">
        <v>44</v>
      </c>
      <c r="F376" s="8">
        <v>41</v>
      </c>
      <c r="G376" s="8">
        <v>48</v>
      </c>
      <c r="H376" s="8">
        <v>32</v>
      </c>
      <c r="J376" t="str">
        <f t="shared" si="36"/>
        <v>NorthMacedonia</v>
      </c>
      <c r="K376" t="s">
        <v>110</v>
      </c>
      <c r="L376" s="16">
        <f t="shared" si="37"/>
        <v>0.28260869565217389</v>
      </c>
      <c r="M376" s="16">
        <f t="shared" si="38"/>
        <v>0.19130434782608696</v>
      </c>
      <c r="N376" s="16">
        <f t="shared" si="39"/>
        <v>0.17826086956521739</v>
      </c>
      <c r="O376" s="16">
        <f t="shared" si="40"/>
        <v>0.20869565217391303</v>
      </c>
      <c r="P376" s="16">
        <f t="shared" si="41"/>
        <v>0.1391304347826087</v>
      </c>
    </row>
    <row r="377" spans="1:16" x14ac:dyDescent="0.3">
      <c r="A377" s="5" t="s">
        <v>119</v>
      </c>
      <c r="B377" s="5" t="s">
        <v>46</v>
      </c>
      <c r="C377" s="5" t="s">
        <v>47</v>
      </c>
      <c r="D377" s="7">
        <v>28</v>
      </c>
      <c r="E377" s="7">
        <v>41</v>
      </c>
      <c r="F377" s="7">
        <v>50</v>
      </c>
      <c r="G377" s="7">
        <v>59</v>
      </c>
      <c r="H377" s="7">
        <v>71</v>
      </c>
      <c r="J377" t="str">
        <f t="shared" si="36"/>
        <v>NorthMacedonia</v>
      </c>
      <c r="K377" t="s">
        <v>111</v>
      </c>
      <c r="L377" s="16">
        <f t="shared" si="37"/>
        <v>0.11244979919678715</v>
      </c>
      <c r="M377" s="16">
        <f t="shared" si="38"/>
        <v>0.1646586345381526</v>
      </c>
      <c r="N377" s="16">
        <f t="shared" si="39"/>
        <v>0.20080321285140562</v>
      </c>
      <c r="O377" s="16">
        <f t="shared" si="40"/>
        <v>0.23694779116465864</v>
      </c>
      <c r="P377" s="16">
        <f t="shared" si="41"/>
        <v>0.28514056224899598</v>
      </c>
    </row>
    <row r="378" spans="1:16" x14ac:dyDescent="0.3">
      <c r="A378" s="5" t="s">
        <v>119</v>
      </c>
      <c r="B378" s="5" t="s">
        <v>48</v>
      </c>
      <c r="C378" s="5" t="s">
        <v>49</v>
      </c>
      <c r="D378" s="8">
        <v>20</v>
      </c>
      <c r="E378" s="8">
        <v>28</v>
      </c>
      <c r="F378" s="8">
        <v>38</v>
      </c>
      <c r="G378" s="8">
        <v>41</v>
      </c>
      <c r="H378" s="8">
        <v>35</v>
      </c>
      <c r="J378" t="str">
        <f t="shared" si="36"/>
        <v>NorthMacedonia</v>
      </c>
      <c r="K378" t="s">
        <v>112</v>
      </c>
      <c r="L378" s="16">
        <f t="shared" si="37"/>
        <v>0.12345679012345678</v>
      </c>
      <c r="M378" s="16">
        <f t="shared" si="38"/>
        <v>0.1728395061728395</v>
      </c>
      <c r="N378" s="16">
        <f t="shared" si="39"/>
        <v>0.23456790123456789</v>
      </c>
      <c r="O378" s="16">
        <f t="shared" si="40"/>
        <v>0.25308641975308643</v>
      </c>
      <c r="P378" s="16">
        <f t="shared" si="41"/>
        <v>0.21604938271604937</v>
      </c>
    </row>
    <row r="379" spans="1:16" x14ac:dyDescent="0.3">
      <c r="A379" s="5" t="s">
        <v>119</v>
      </c>
      <c r="B379" s="5" t="s">
        <v>50</v>
      </c>
      <c r="C379" s="5" t="s">
        <v>51</v>
      </c>
      <c r="D379" s="7">
        <v>30</v>
      </c>
      <c r="E379" s="7">
        <v>24</v>
      </c>
      <c r="F379" s="7">
        <v>28</v>
      </c>
      <c r="G379" s="7">
        <v>25</v>
      </c>
      <c r="H379" s="7">
        <v>31</v>
      </c>
      <c r="J379" t="str">
        <f t="shared" si="36"/>
        <v>NorthMacedonia</v>
      </c>
      <c r="K379" t="s">
        <v>113</v>
      </c>
      <c r="L379" s="16">
        <f t="shared" si="37"/>
        <v>0.21739130434782608</v>
      </c>
      <c r="M379" s="16">
        <f t="shared" si="38"/>
        <v>0.17391304347826086</v>
      </c>
      <c r="N379" s="16">
        <f t="shared" si="39"/>
        <v>0.20289855072463769</v>
      </c>
      <c r="O379" s="16">
        <f t="shared" si="40"/>
        <v>0.18115942028985507</v>
      </c>
      <c r="P379" s="16">
        <f t="shared" si="41"/>
        <v>0.22463768115942029</v>
      </c>
    </row>
    <row r="380" spans="1:16" x14ac:dyDescent="0.3">
      <c r="A380" s="5" t="s">
        <v>119</v>
      </c>
      <c r="B380" s="5" t="s">
        <v>52</v>
      </c>
      <c r="C380" s="5" t="s">
        <v>53</v>
      </c>
      <c r="D380" s="8">
        <v>0</v>
      </c>
      <c r="E380" s="8">
        <v>2</v>
      </c>
      <c r="F380" s="8">
        <v>3</v>
      </c>
      <c r="G380" s="8">
        <v>7</v>
      </c>
      <c r="H380" s="8">
        <v>6</v>
      </c>
      <c r="J380" t="str">
        <f t="shared" si="36"/>
        <v>NorthMacedonia</v>
      </c>
      <c r="K380" t="s">
        <v>114</v>
      </c>
      <c r="L380" s="16">
        <f t="shared" si="37"/>
        <v>0</v>
      </c>
      <c r="M380" s="16">
        <f t="shared" si="38"/>
        <v>0.1111111111111111</v>
      </c>
      <c r="N380" s="16">
        <f t="shared" si="39"/>
        <v>0.16666666666666666</v>
      </c>
      <c r="O380" s="16">
        <f t="shared" si="40"/>
        <v>0.3888888888888889</v>
      </c>
      <c r="P380" s="16">
        <f t="shared" si="41"/>
        <v>0.33333333333333331</v>
      </c>
    </row>
    <row r="381" spans="1:16" x14ac:dyDescent="0.3">
      <c r="A381" s="5" t="s">
        <v>119</v>
      </c>
      <c r="B381" s="5" t="s">
        <v>54</v>
      </c>
      <c r="C381" s="5" t="s">
        <v>55</v>
      </c>
      <c r="D381" s="7">
        <v>11</v>
      </c>
      <c r="E381" s="7">
        <v>26</v>
      </c>
      <c r="F381" s="7">
        <v>37</v>
      </c>
      <c r="G381" s="7">
        <v>42</v>
      </c>
      <c r="H381" s="7">
        <v>54</v>
      </c>
      <c r="J381" t="str">
        <f t="shared" si="36"/>
        <v>NorthMacedonia</v>
      </c>
      <c r="K381" t="s">
        <v>115</v>
      </c>
      <c r="L381" s="16">
        <f t="shared" si="37"/>
        <v>6.4705882352941183E-2</v>
      </c>
      <c r="M381" s="16">
        <f t="shared" si="38"/>
        <v>0.15294117647058825</v>
      </c>
      <c r="N381" s="16">
        <f t="shared" si="39"/>
        <v>0.21764705882352942</v>
      </c>
      <c r="O381" s="16">
        <f t="shared" si="40"/>
        <v>0.24705882352941178</v>
      </c>
      <c r="P381" s="16">
        <f t="shared" si="41"/>
        <v>0.31764705882352939</v>
      </c>
    </row>
    <row r="382" spans="1:16" x14ac:dyDescent="0.3">
      <c r="A382" s="5" t="s">
        <v>119</v>
      </c>
      <c r="B382" s="5" t="s">
        <v>56</v>
      </c>
      <c r="C382" s="5" t="s">
        <v>57</v>
      </c>
      <c r="D382" s="8">
        <v>47</v>
      </c>
      <c r="E382" s="8">
        <v>39</v>
      </c>
      <c r="F382" s="8">
        <v>44</v>
      </c>
      <c r="G382" s="8">
        <v>48</v>
      </c>
      <c r="H382" s="8">
        <v>61</v>
      </c>
      <c r="J382" t="str">
        <f t="shared" si="36"/>
        <v>NorthMacedonia</v>
      </c>
      <c r="K382" t="s">
        <v>116</v>
      </c>
      <c r="L382" s="16">
        <f t="shared" si="37"/>
        <v>0.19665271966527198</v>
      </c>
      <c r="M382" s="16">
        <f t="shared" si="38"/>
        <v>0.16317991631799164</v>
      </c>
      <c r="N382" s="16">
        <f t="shared" si="39"/>
        <v>0.18410041841004185</v>
      </c>
      <c r="O382" s="16">
        <f t="shared" si="40"/>
        <v>0.20083682008368201</v>
      </c>
      <c r="P382" s="16">
        <f t="shared" si="41"/>
        <v>0.25523012552301255</v>
      </c>
    </row>
    <row r="383" spans="1:16" x14ac:dyDescent="0.3">
      <c r="A383" s="5" t="s">
        <v>90</v>
      </c>
      <c r="B383" s="5" t="s">
        <v>34</v>
      </c>
      <c r="C383" s="5" t="s">
        <v>35</v>
      </c>
      <c r="D383" s="7">
        <v>362</v>
      </c>
      <c r="E383" s="7">
        <v>325</v>
      </c>
      <c r="F383" s="7">
        <v>308</v>
      </c>
      <c r="G383" s="7">
        <v>294</v>
      </c>
      <c r="H383" s="7">
        <v>258</v>
      </c>
      <c r="J383" t="str">
        <f t="shared" si="36"/>
        <v>Serbia</v>
      </c>
      <c r="K383" t="s">
        <v>105</v>
      </c>
      <c r="L383" s="16">
        <f t="shared" si="37"/>
        <v>0.23400129282482224</v>
      </c>
      <c r="M383" s="16">
        <f t="shared" si="38"/>
        <v>0.21008403361344538</v>
      </c>
      <c r="N383" s="16">
        <f t="shared" si="39"/>
        <v>0.19909502262443438</v>
      </c>
      <c r="O383" s="16">
        <f t="shared" si="40"/>
        <v>0.19004524886877827</v>
      </c>
      <c r="P383" s="16">
        <f t="shared" si="41"/>
        <v>0.16677440206851971</v>
      </c>
    </row>
    <row r="384" spans="1:16" x14ac:dyDescent="0.3">
      <c r="A384" s="5" t="s">
        <v>90</v>
      </c>
      <c r="B384" s="5" t="s">
        <v>36</v>
      </c>
      <c r="C384" s="5" t="s">
        <v>37</v>
      </c>
      <c r="D384" s="8">
        <v>40</v>
      </c>
      <c r="E384" s="8">
        <v>41</v>
      </c>
      <c r="F384" s="8">
        <v>41</v>
      </c>
      <c r="G384" s="8">
        <v>38</v>
      </c>
      <c r="H384" s="8">
        <v>35</v>
      </c>
      <c r="J384" t="str">
        <f t="shared" si="36"/>
        <v>Serbia</v>
      </c>
      <c r="K384" t="s">
        <v>106</v>
      </c>
      <c r="L384" s="16">
        <f t="shared" si="37"/>
        <v>0.20512820512820512</v>
      </c>
      <c r="M384" s="16">
        <f t="shared" si="38"/>
        <v>0.21025641025641026</v>
      </c>
      <c r="N384" s="16">
        <f t="shared" si="39"/>
        <v>0.21025641025641026</v>
      </c>
      <c r="O384" s="16">
        <f t="shared" si="40"/>
        <v>0.19487179487179487</v>
      </c>
      <c r="P384" s="16">
        <f t="shared" si="41"/>
        <v>0.17948717948717949</v>
      </c>
    </row>
    <row r="385" spans="1:16" x14ac:dyDescent="0.3">
      <c r="A385" s="5" t="s">
        <v>90</v>
      </c>
      <c r="B385" s="5" t="s">
        <v>38</v>
      </c>
      <c r="C385" s="5" t="s">
        <v>39</v>
      </c>
      <c r="D385" s="7">
        <v>18</v>
      </c>
      <c r="E385" s="7">
        <v>28</v>
      </c>
      <c r="F385" s="7">
        <v>38</v>
      </c>
      <c r="G385" s="7">
        <v>45</v>
      </c>
      <c r="H385" s="7">
        <v>55</v>
      </c>
      <c r="J385" t="str">
        <f t="shared" si="36"/>
        <v>Serbia</v>
      </c>
      <c r="K385" t="s">
        <v>107</v>
      </c>
      <c r="L385" s="16">
        <f t="shared" si="37"/>
        <v>9.7826086956521743E-2</v>
      </c>
      <c r="M385" s="16">
        <f t="shared" si="38"/>
        <v>0.15217391304347827</v>
      </c>
      <c r="N385" s="16">
        <f t="shared" si="39"/>
        <v>0.20652173913043478</v>
      </c>
      <c r="O385" s="16">
        <f t="shared" si="40"/>
        <v>0.24456521739130435</v>
      </c>
      <c r="P385" s="16">
        <f t="shared" si="41"/>
        <v>0.29891304347826086</v>
      </c>
    </row>
    <row r="386" spans="1:16" x14ac:dyDescent="0.3">
      <c r="A386" s="5" t="s">
        <v>90</v>
      </c>
      <c r="B386" s="5" t="s">
        <v>40</v>
      </c>
      <c r="C386" s="5" t="s">
        <v>41</v>
      </c>
      <c r="D386" s="8">
        <v>342</v>
      </c>
      <c r="E386" s="8">
        <v>342</v>
      </c>
      <c r="F386" s="8">
        <v>313</v>
      </c>
      <c r="G386" s="8">
        <v>300</v>
      </c>
      <c r="H386" s="8">
        <v>284</v>
      </c>
      <c r="J386" t="str">
        <f t="shared" si="36"/>
        <v>Serbia</v>
      </c>
      <c r="K386" t="s">
        <v>108</v>
      </c>
      <c r="L386" s="16">
        <f t="shared" si="37"/>
        <v>0.21631878557874762</v>
      </c>
      <c r="M386" s="16">
        <f t="shared" si="38"/>
        <v>0.21631878557874762</v>
      </c>
      <c r="N386" s="16">
        <f t="shared" si="39"/>
        <v>0.19797596457938013</v>
      </c>
      <c r="O386" s="16">
        <f t="shared" si="40"/>
        <v>0.18975332068311196</v>
      </c>
      <c r="P386" s="16">
        <f t="shared" si="41"/>
        <v>0.17963314358001264</v>
      </c>
    </row>
    <row r="387" spans="1:16" x14ac:dyDescent="0.3">
      <c r="A387" s="5" t="s">
        <v>90</v>
      </c>
      <c r="B387" s="5" t="s">
        <v>42</v>
      </c>
      <c r="C387" s="5" t="s">
        <v>43</v>
      </c>
      <c r="D387" s="7">
        <v>38</v>
      </c>
      <c r="E387" s="7">
        <v>38</v>
      </c>
      <c r="F387" s="7">
        <v>38</v>
      </c>
      <c r="G387" s="7">
        <v>37</v>
      </c>
      <c r="H387" s="7">
        <v>39</v>
      </c>
      <c r="J387" t="str">
        <f t="shared" si="36"/>
        <v>Serbia</v>
      </c>
      <c r="K387" t="s">
        <v>109</v>
      </c>
      <c r="L387" s="16">
        <f t="shared" si="37"/>
        <v>0.2</v>
      </c>
      <c r="M387" s="16">
        <f t="shared" si="38"/>
        <v>0.2</v>
      </c>
      <c r="N387" s="16">
        <f t="shared" si="39"/>
        <v>0.2</v>
      </c>
      <c r="O387" s="16">
        <f t="shared" si="40"/>
        <v>0.19473684210526315</v>
      </c>
      <c r="P387" s="16">
        <f t="shared" si="41"/>
        <v>0.20526315789473684</v>
      </c>
    </row>
    <row r="388" spans="1:16" x14ac:dyDescent="0.3">
      <c r="A388" s="5" t="s">
        <v>90</v>
      </c>
      <c r="B388" s="5" t="s">
        <v>44</v>
      </c>
      <c r="C388" s="5" t="s">
        <v>45</v>
      </c>
      <c r="D388" s="8">
        <v>47</v>
      </c>
      <c r="E388" s="8">
        <v>37</v>
      </c>
      <c r="F388" s="8">
        <v>38</v>
      </c>
      <c r="G388" s="8">
        <v>31</v>
      </c>
      <c r="H388" s="8">
        <v>31</v>
      </c>
      <c r="J388" t="str">
        <f t="shared" si="36"/>
        <v>Serbia</v>
      </c>
      <c r="K388" t="s">
        <v>110</v>
      </c>
      <c r="L388" s="16">
        <f t="shared" si="37"/>
        <v>0.25543478260869568</v>
      </c>
      <c r="M388" s="16">
        <f t="shared" si="38"/>
        <v>0.20108695652173914</v>
      </c>
      <c r="N388" s="16">
        <f t="shared" si="39"/>
        <v>0.20652173913043478</v>
      </c>
      <c r="O388" s="16">
        <f t="shared" si="40"/>
        <v>0.16847826086956522</v>
      </c>
      <c r="P388" s="16">
        <f t="shared" si="41"/>
        <v>0.16847826086956522</v>
      </c>
    </row>
    <row r="389" spans="1:16" x14ac:dyDescent="0.3">
      <c r="A389" s="5" t="s">
        <v>90</v>
      </c>
      <c r="B389" s="5" t="s">
        <v>46</v>
      </c>
      <c r="C389" s="5" t="s">
        <v>47</v>
      </c>
      <c r="D389" s="7">
        <v>41</v>
      </c>
      <c r="E389" s="7">
        <v>50</v>
      </c>
      <c r="F389" s="7">
        <v>71</v>
      </c>
      <c r="G389" s="7">
        <v>87</v>
      </c>
      <c r="H389" s="7">
        <v>106</v>
      </c>
      <c r="J389" t="str">
        <f t="shared" si="36"/>
        <v>Serbia</v>
      </c>
      <c r="K389" t="s">
        <v>111</v>
      </c>
      <c r="L389" s="16">
        <f t="shared" si="37"/>
        <v>0.11549295774647887</v>
      </c>
      <c r="M389" s="16">
        <f t="shared" si="38"/>
        <v>0.14084507042253522</v>
      </c>
      <c r="N389" s="16">
        <f t="shared" si="39"/>
        <v>0.2</v>
      </c>
      <c r="O389" s="16">
        <f t="shared" si="40"/>
        <v>0.24507042253521127</v>
      </c>
      <c r="P389" s="16">
        <f t="shared" si="41"/>
        <v>0.29859154929577464</v>
      </c>
    </row>
    <row r="390" spans="1:16" x14ac:dyDescent="0.3">
      <c r="A390" s="5" t="s">
        <v>90</v>
      </c>
      <c r="B390" s="5" t="s">
        <v>48</v>
      </c>
      <c r="C390" s="5" t="s">
        <v>49</v>
      </c>
      <c r="D390" s="8">
        <v>35</v>
      </c>
      <c r="E390" s="8">
        <v>44</v>
      </c>
      <c r="F390" s="8">
        <v>45</v>
      </c>
      <c r="G390" s="8">
        <v>47</v>
      </c>
      <c r="H390" s="8">
        <v>46</v>
      </c>
      <c r="J390" t="str">
        <f t="shared" si="36"/>
        <v>Serbia</v>
      </c>
      <c r="K390" t="s">
        <v>112</v>
      </c>
      <c r="L390" s="16">
        <f t="shared" si="37"/>
        <v>0.16129032258064516</v>
      </c>
      <c r="M390" s="16">
        <f t="shared" si="38"/>
        <v>0.20276497695852536</v>
      </c>
      <c r="N390" s="16">
        <f t="shared" si="39"/>
        <v>0.20737327188940091</v>
      </c>
      <c r="O390" s="16">
        <f t="shared" si="40"/>
        <v>0.21658986175115208</v>
      </c>
      <c r="P390" s="16">
        <f t="shared" si="41"/>
        <v>0.2119815668202765</v>
      </c>
    </row>
    <row r="391" spans="1:16" x14ac:dyDescent="0.3">
      <c r="A391" s="5" t="s">
        <v>90</v>
      </c>
      <c r="B391" s="5" t="s">
        <v>50</v>
      </c>
      <c r="C391" s="5" t="s">
        <v>51</v>
      </c>
      <c r="D391" s="7">
        <v>20</v>
      </c>
      <c r="E391" s="7">
        <v>26</v>
      </c>
      <c r="F391" s="7">
        <v>34</v>
      </c>
      <c r="G391" s="7">
        <v>40</v>
      </c>
      <c r="H391" s="7">
        <v>51</v>
      </c>
      <c r="J391" t="str">
        <f t="shared" si="36"/>
        <v>Serbia</v>
      </c>
      <c r="K391" t="s">
        <v>113</v>
      </c>
      <c r="L391" s="16">
        <f t="shared" si="37"/>
        <v>0.11695906432748537</v>
      </c>
      <c r="M391" s="16">
        <f t="shared" si="38"/>
        <v>0.15204678362573099</v>
      </c>
      <c r="N391" s="16">
        <f t="shared" si="39"/>
        <v>0.19883040935672514</v>
      </c>
      <c r="O391" s="16">
        <f t="shared" si="40"/>
        <v>0.23391812865497075</v>
      </c>
      <c r="P391" s="16">
        <f t="shared" si="41"/>
        <v>0.2982456140350877</v>
      </c>
    </row>
    <row r="392" spans="1:16" x14ac:dyDescent="0.3">
      <c r="A392" s="5" t="s">
        <v>90</v>
      </c>
      <c r="B392" s="5" t="s">
        <v>52</v>
      </c>
      <c r="C392" s="5" t="s">
        <v>53</v>
      </c>
      <c r="D392" s="8">
        <v>2</v>
      </c>
      <c r="E392" s="8">
        <v>8</v>
      </c>
      <c r="F392" s="8">
        <v>7</v>
      </c>
      <c r="G392" s="8">
        <v>10</v>
      </c>
      <c r="H392" s="8">
        <v>16</v>
      </c>
      <c r="J392" t="str">
        <f t="shared" si="36"/>
        <v>Serbia</v>
      </c>
      <c r="K392" t="s">
        <v>114</v>
      </c>
      <c r="L392" s="16">
        <f t="shared" si="37"/>
        <v>4.6511627906976744E-2</v>
      </c>
      <c r="M392" s="16">
        <f t="shared" si="38"/>
        <v>0.18604651162790697</v>
      </c>
      <c r="N392" s="16">
        <f t="shared" si="39"/>
        <v>0.16279069767441862</v>
      </c>
      <c r="O392" s="16">
        <f t="shared" si="40"/>
        <v>0.23255813953488372</v>
      </c>
      <c r="P392" s="16">
        <f t="shared" si="41"/>
        <v>0.37209302325581395</v>
      </c>
    </row>
    <row r="393" spans="1:16" x14ac:dyDescent="0.3">
      <c r="A393" s="5" t="s">
        <v>90</v>
      </c>
      <c r="B393" s="5" t="s">
        <v>54</v>
      </c>
      <c r="C393" s="5" t="s">
        <v>55</v>
      </c>
      <c r="D393" s="7">
        <v>11</v>
      </c>
      <c r="E393" s="7">
        <v>17</v>
      </c>
      <c r="F393" s="7">
        <v>21</v>
      </c>
      <c r="G393" s="7">
        <v>23</v>
      </c>
      <c r="H393" s="7">
        <v>31</v>
      </c>
      <c r="J393" t="str">
        <f t="shared" si="36"/>
        <v>Serbia</v>
      </c>
      <c r="K393" t="s">
        <v>115</v>
      </c>
      <c r="L393" s="16">
        <f t="shared" si="37"/>
        <v>0.10679611650485436</v>
      </c>
      <c r="M393" s="16">
        <f t="shared" si="38"/>
        <v>0.1650485436893204</v>
      </c>
      <c r="N393" s="16">
        <f t="shared" si="39"/>
        <v>0.20388349514563106</v>
      </c>
      <c r="O393" s="16">
        <f t="shared" si="40"/>
        <v>0.22330097087378642</v>
      </c>
      <c r="P393" s="16">
        <f t="shared" si="41"/>
        <v>0.30097087378640774</v>
      </c>
    </row>
    <row r="394" spans="1:16" x14ac:dyDescent="0.3">
      <c r="A394" s="5" t="s">
        <v>90</v>
      </c>
      <c r="B394" s="5" t="s">
        <v>56</v>
      </c>
      <c r="C394" s="5" t="s">
        <v>57</v>
      </c>
      <c r="D394" s="8">
        <v>44</v>
      </c>
      <c r="E394" s="8">
        <v>45</v>
      </c>
      <c r="F394" s="8">
        <v>46</v>
      </c>
      <c r="G394" s="8">
        <v>47</v>
      </c>
      <c r="H394" s="8">
        <v>48</v>
      </c>
      <c r="J394" t="str">
        <f t="shared" si="36"/>
        <v>Serbia</v>
      </c>
      <c r="K394" t="s">
        <v>116</v>
      </c>
      <c r="L394" s="16">
        <f t="shared" si="37"/>
        <v>0.19130434782608696</v>
      </c>
      <c r="M394" s="16">
        <f t="shared" si="38"/>
        <v>0.19565217391304349</v>
      </c>
      <c r="N394" s="16">
        <f t="shared" si="39"/>
        <v>0.2</v>
      </c>
      <c r="O394" s="16">
        <f t="shared" si="40"/>
        <v>0.20434782608695654</v>
      </c>
      <c r="P394" s="16">
        <f t="shared" si="41"/>
        <v>0.20869565217391303</v>
      </c>
    </row>
    <row r="395" spans="1:16" x14ac:dyDescent="0.3">
      <c r="A395" s="5" t="s">
        <v>125</v>
      </c>
      <c r="B395" s="5" t="s">
        <v>34</v>
      </c>
      <c r="C395" s="5" t="s">
        <v>35</v>
      </c>
      <c r="D395" s="7">
        <v>296</v>
      </c>
      <c r="E395" s="7">
        <v>251</v>
      </c>
      <c r="F395" s="7">
        <v>223</v>
      </c>
      <c r="G395" s="7">
        <v>197</v>
      </c>
      <c r="H395" s="7">
        <v>144</v>
      </c>
      <c r="J395" t="str">
        <f t="shared" si="36"/>
        <v>Turkiye</v>
      </c>
      <c r="K395" t="s">
        <v>105</v>
      </c>
      <c r="L395" s="16">
        <f t="shared" si="37"/>
        <v>0.26642664266426641</v>
      </c>
      <c r="M395" s="16">
        <f t="shared" si="38"/>
        <v>0.22592259225922592</v>
      </c>
      <c r="N395" s="16">
        <f t="shared" si="39"/>
        <v>0.20072007200720071</v>
      </c>
      <c r="O395" s="16">
        <f t="shared" si="40"/>
        <v>0.17731773177317731</v>
      </c>
      <c r="P395" s="16">
        <f t="shared" si="41"/>
        <v>0.12961296129612962</v>
      </c>
    </row>
    <row r="396" spans="1:16" x14ac:dyDescent="0.3">
      <c r="A396" s="5" t="s">
        <v>125</v>
      </c>
      <c r="B396" s="5" t="s">
        <v>36</v>
      </c>
      <c r="C396" s="5" t="s">
        <v>37</v>
      </c>
      <c r="D396" s="8">
        <v>50</v>
      </c>
      <c r="E396" s="8">
        <v>52</v>
      </c>
      <c r="F396" s="8">
        <v>49</v>
      </c>
      <c r="G396" s="8">
        <v>47</v>
      </c>
      <c r="H396" s="8">
        <v>32</v>
      </c>
      <c r="J396" t="str">
        <f t="shared" ref="J396:J418" si="42">A396</f>
        <v>Turkiye</v>
      </c>
      <c r="K396" t="s">
        <v>106</v>
      </c>
      <c r="L396" s="16">
        <f t="shared" si="37"/>
        <v>0.21739130434782608</v>
      </c>
      <c r="M396" s="16">
        <f t="shared" si="38"/>
        <v>0.22608695652173913</v>
      </c>
      <c r="N396" s="16">
        <f t="shared" si="39"/>
        <v>0.21304347826086956</v>
      </c>
      <c r="O396" s="16">
        <f t="shared" si="40"/>
        <v>0.20434782608695654</v>
      </c>
      <c r="P396" s="16">
        <f t="shared" si="41"/>
        <v>0.1391304347826087</v>
      </c>
    </row>
    <row r="397" spans="1:16" x14ac:dyDescent="0.3">
      <c r="A397" s="5" t="s">
        <v>125</v>
      </c>
      <c r="B397" s="5" t="s">
        <v>38</v>
      </c>
      <c r="C397" s="5" t="s">
        <v>39</v>
      </c>
      <c r="D397" s="7">
        <v>42</v>
      </c>
      <c r="E397" s="7">
        <v>46</v>
      </c>
      <c r="F397" s="7">
        <v>50</v>
      </c>
      <c r="G397" s="7">
        <v>51</v>
      </c>
      <c r="H397" s="7">
        <v>56</v>
      </c>
      <c r="J397" t="str">
        <f t="shared" si="42"/>
        <v>Turkiye</v>
      </c>
      <c r="K397" t="s">
        <v>107</v>
      </c>
      <c r="L397" s="16">
        <f t="shared" si="37"/>
        <v>0.17142857142857143</v>
      </c>
      <c r="M397" s="16">
        <f t="shared" si="38"/>
        <v>0.18775510204081633</v>
      </c>
      <c r="N397" s="16">
        <f t="shared" si="39"/>
        <v>0.20408163265306123</v>
      </c>
      <c r="O397" s="16">
        <f t="shared" si="40"/>
        <v>0.20816326530612245</v>
      </c>
      <c r="P397" s="16">
        <f t="shared" si="41"/>
        <v>0.22857142857142856</v>
      </c>
    </row>
    <row r="398" spans="1:16" x14ac:dyDescent="0.3">
      <c r="A398" s="5" t="s">
        <v>125</v>
      </c>
      <c r="B398" s="5" t="s">
        <v>40</v>
      </c>
      <c r="C398" s="5" t="s">
        <v>41</v>
      </c>
      <c r="D398" s="8">
        <v>327</v>
      </c>
      <c r="E398" s="8">
        <v>289</v>
      </c>
      <c r="F398" s="8">
        <v>269</v>
      </c>
      <c r="G398" s="8">
        <v>250</v>
      </c>
      <c r="H398" s="8">
        <v>224</v>
      </c>
      <c r="J398" t="str">
        <f t="shared" si="42"/>
        <v>Turkiye</v>
      </c>
      <c r="K398" t="s">
        <v>108</v>
      </c>
      <c r="L398" s="16">
        <f t="shared" si="37"/>
        <v>0.24061810154525387</v>
      </c>
      <c r="M398" s="16">
        <f t="shared" si="38"/>
        <v>0.21265636497424578</v>
      </c>
      <c r="N398" s="16">
        <f t="shared" si="39"/>
        <v>0.19793966151582046</v>
      </c>
      <c r="O398" s="16">
        <f t="shared" si="40"/>
        <v>0.18395879323031641</v>
      </c>
      <c r="P398" s="16">
        <f t="shared" si="41"/>
        <v>0.1648270787343635</v>
      </c>
    </row>
    <row r="399" spans="1:16" x14ac:dyDescent="0.3">
      <c r="A399" s="5" t="s">
        <v>125</v>
      </c>
      <c r="B399" s="5" t="s">
        <v>42</v>
      </c>
      <c r="C399" s="5" t="s">
        <v>43</v>
      </c>
      <c r="D399" s="7">
        <v>57</v>
      </c>
      <c r="E399" s="7">
        <v>62</v>
      </c>
      <c r="F399" s="7">
        <v>65</v>
      </c>
      <c r="G399" s="7">
        <v>64</v>
      </c>
      <c r="H399" s="7">
        <v>65</v>
      </c>
      <c r="J399" t="str">
        <f t="shared" si="42"/>
        <v>Turkiye</v>
      </c>
      <c r="K399" t="s">
        <v>109</v>
      </c>
      <c r="L399" s="16">
        <f t="shared" si="37"/>
        <v>0.18210862619808307</v>
      </c>
      <c r="M399" s="16">
        <f t="shared" si="38"/>
        <v>0.19808306709265175</v>
      </c>
      <c r="N399" s="16">
        <f t="shared" si="39"/>
        <v>0.20766773162939298</v>
      </c>
      <c r="O399" s="16">
        <f t="shared" si="40"/>
        <v>0.20447284345047922</v>
      </c>
      <c r="P399" s="16">
        <f t="shared" si="41"/>
        <v>0.20766773162939298</v>
      </c>
    </row>
    <row r="400" spans="1:16" x14ac:dyDescent="0.3">
      <c r="A400" s="5" t="s">
        <v>125</v>
      </c>
      <c r="B400" s="5" t="s">
        <v>44</v>
      </c>
      <c r="C400" s="5" t="s">
        <v>45</v>
      </c>
      <c r="D400" s="8">
        <v>20</v>
      </c>
      <c r="E400" s="8">
        <v>20</v>
      </c>
      <c r="F400" s="8">
        <v>19</v>
      </c>
      <c r="G400" s="8">
        <v>20</v>
      </c>
      <c r="H400" s="8">
        <v>22</v>
      </c>
      <c r="J400" t="str">
        <f t="shared" si="42"/>
        <v>Turkiye</v>
      </c>
      <c r="K400" t="s">
        <v>110</v>
      </c>
      <c r="L400" s="16">
        <f t="shared" si="37"/>
        <v>0.19801980198019803</v>
      </c>
      <c r="M400" s="16">
        <f t="shared" si="38"/>
        <v>0.19801980198019803</v>
      </c>
      <c r="N400" s="16">
        <f t="shared" si="39"/>
        <v>0.18811881188118812</v>
      </c>
      <c r="O400" s="16">
        <f t="shared" si="40"/>
        <v>0.19801980198019803</v>
      </c>
      <c r="P400" s="16">
        <f t="shared" si="41"/>
        <v>0.21782178217821782</v>
      </c>
    </row>
    <row r="401" spans="1:16" x14ac:dyDescent="0.3">
      <c r="A401" s="5" t="s">
        <v>125</v>
      </c>
      <c r="B401" s="5" t="s">
        <v>46</v>
      </c>
      <c r="C401" s="5" t="s">
        <v>47</v>
      </c>
      <c r="D401" s="7">
        <v>83</v>
      </c>
      <c r="E401" s="7">
        <v>129</v>
      </c>
      <c r="F401" s="7">
        <v>157</v>
      </c>
      <c r="G401" s="7">
        <v>182</v>
      </c>
      <c r="H401" s="7">
        <v>219</v>
      </c>
      <c r="J401" t="str">
        <f t="shared" si="42"/>
        <v>Turkiye</v>
      </c>
      <c r="K401" t="s">
        <v>111</v>
      </c>
      <c r="L401" s="16">
        <f t="shared" si="37"/>
        <v>0.10779220779220779</v>
      </c>
      <c r="M401" s="16">
        <f t="shared" si="38"/>
        <v>0.16753246753246753</v>
      </c>
      <c r="N401" s="16">
        <f t="shared" si="39"/>
        <v>0.20389610389610391</v>
      </c>
      <c r="O401" s="16">
        <f t="shared" si="40"/>
        <v>0.23636363636363636</v>
      </c>
      <c r="P401" s="16">
        <f t="shared" si="41"/>
        <v>0.2844155844155844</v>
      </c>
    </row>
    <row r="402" spans="1:16" x14ac:dyDescent="0.3">
      <c r="A402" s="5" t="s">
        <v>125</v>
      </c>
      <c r="B402" s="5" t="s">
        <v>48</v>
      </c>
      <c r="C402" s="5" t="s">
        <v>49</v>
      </c>
      <c r="D402" s="8">
        <v>29</v>
      </c>
      <c r="E402" s="8">
        <v>33</v>
      </c>
      <c r="F402" s="8">
        <v>39</v>
      </c>
      <c r="G402" s="8">
        <v>41</v>
      </c>
      <c r="H402" s="8">
        <v>37</v>
      </c>
      <c r="J402" t="str">
        <f t="shared" si="42"/>
        <v>Turkiye</v>
      </c>
      <c r="K402" t="s">
        <v>112</v>
      </c>
      <c r="L402" s="16">
        <f t="shared" ref="L402:L418" si="43">D402/(SUM($D402:$H402))</f>
        <v>0.16201117318435754</v>
      </c>
      <c r="M402" s="16">
        <f t="shared" ref="M402:M418" si="44">E402/(SUM($D402:$H402))</f>
        <v>0.18435754189944134</v>
      </c>
      <c r="N402" s="16">
        <f t="shared" ref="N402:N418" si="45">F402/(SUM($D402:$H402))</f>
        <v>0.21787709497206703</v>
      </c>
      <c r="O402" s="16">
        <f t="shared" ref="O402:O418" si="46">G402/(SUM($D402:$H402))</f>
        <v>0.22905027932960895</v>
      </c>
      <c r="P402" s="16">
        <f t="shared" ref="P402:P418" si="47">H402/(SUM($D402:$H402))</f>
        <v>0.20670391061452514</v>
      </c>
    </row>
    <row r="403" spans="1:16" x14ac:dyDescent="0.3">
      <c r="A403" s="5" t="s">
        <v>125</v>
      </c>
      <c r="B403" s="5" t="s">
        <v>50</v>
      </c>
      <c r="C403" s="5" t="s">
        <v>51</v>
      </c>
      <c r="D403" s="7">
        <v>17</v>
      </c>
      <c r="E403" s="7">
        <v>22</v>
      </c>
      <c r="F403" s="7">
        <v>24</v>
      </c>
      <c r="G403" s="7">
        <v>28</v>
      </c>
      <c r="H403" s="7">
        <v>37</v>
      </c>
      <c r="J403" t="str">
        <f t="shared" si="42"/>
        <v>Turkiye</v>
      </c>
      <c r="K403" t="s">
        <v>113</v>
      </c>
      <c r="L403" s="16">
        <f t="shared" si="43"/>
        <v>0.1328125</v>
      </c>
      <c r="M403" s="16">
        <f t="shared" si="44"/>
        <v>0.171875</v>
      </c>
      <c r="N403" s="16">
        <f t="shared" si="45"/>
        <v>0.1875</v>
      </c>
      <c r="O403" s="16">
        <f t="shared" si="46"/>
        <v>0.21875</v>
      </c>
      <c r="P403" s="16">
        <f t="shared" si="47"/>
        <v>0.2890625</v>
      </c>
    </row>
    <row r="404" spans="1:16" x14ac:dyDescent="0.3">
      <c r="A404" s="5" t="s">
        <v>125</v>
      </c>
      <c r="B404" s="5" t="s">
        <v>52</v>
      </c>
      <c r="C404" s="5" t="s">
        <v>53</v>
      </c>
      <c r="D404" s="8">
        <v>5</v>
      </c>
      <c r="E404" s="8">
        <v>8</v>
      </c>
      <c r="F404" s="8">
        <v>12</v>
      </c>
      <c r="G404" s="8">
        <v>16</v>
      </c>
      <c r="H404" s="8">
        <v>41</v>
      </c>
      <c r="J404" t="str">
        <f t="shared" si="42"/>
        <v>Turkiye</v>
      </c>
      <c r="K404" t="s">
        <v>114</v>
      </c>
      <c r="L404" s="16">
        <f t="shared" si="43"/>
        <v>6.097560975609756E-2</v>
      </c>
      <c r="M404" s="16">
        <f t="shared" si="44"/>
        <v>9.7560975609756101E-2</v>
      </c>
      <c r="N404" s="16">
        <f t="shared" si="45"/>
        <v>0.14634146341463414</v>
      </c>
      <c r="O404" s="16">
        <f t="shared" si="46"/>
        <v>0.1951219512195122</v>
      </c>
      <c r="P404" s="16">
        <f t="shared" si="47"/>
        <v>0.5</v>
      </c>
    </row>
    <row r="405" spans="1:16" x14ac:dyDescent="0.3">
      <c r="A405" s="5" t="s">
        <v>125</v>
      </c>
      <c r="B405" s="5" t="s">
        <v>54</v>
      </c>
      <c r="C405" s="5" t="s">
        <v>55</v>
      </c>
      <c r="D405" s="7">
        <v>42</v>
      </c>
      <c r="E405" s="7">
        <v>51</v>
      </c>
      <c r="F405" s="7">
        <v>57</v>
      </c>
      <c r="G405" s="7">
        <v>62</v>
      </c>
      <c r="H405" s="7">
        <v>74</v>
      </c>
      <c r="J405" t="str">
        <f t="shared" si="42"/>
        <v>Turkiye</v>
      </c>
      <c r="K405" t="s">
        <v>115</v>
      </c>
      <c r="L405" s="16">
        <f t="shared" si="43"/>
        <v>0.14685314685314685</v>
      </c>
      <c r="M405" s="16">
        <f t="shared" si="44"/>
        <v>0.17832167832167833</v>
      </c>
      <c r="N405" s="16">
        <f t="shared" si="45"/>
        <v>0.1993006993006993</v>
      </c>
      <c r="O405" s="16">
        <f t="shared" si="46"/>
        <v>0.21678321678321677</v>
      </c>
      <c r="P405" s="16">
        <f t="shared" si="47"/>
        <v>0.25874125874125875</v>
      </c>
    </row>
    <row r="406" spans="1:16" x14ac:dyDescent="0.3">
      <c r="A406" s="5" t="s">
        <v>125</v>
      </c>
      <c r="B406" s="5" t="s">
        <v>56</v>
      </c>
      <c r="C406" s="5" t="s">
        <v>57</v>
      </c>
      <c r="D406" s="8">
        <v>30</v>
      </c>
      <c r="E406" s="8">
        <v>36</v>
      </c>
      <c r="F406" s="8">
        <v>37</v>
      </c>
      <c r="G406" s="8">
        <v>41</v>
      </c>
      <c r="H406" s="8">
        <v>50</v>
      </c>
      <c r="J406" t="str">
        <f t="shared" si="42"/>
        <v>Turkiye</v>
      </c>
      <c r="K406" t="s">
        <v>116</v>
      </c>
      <c r="L406" s="16">
        <f t="shared" si="43"/>
        <v>0.15463917525773196</v>
      </c>
      <c r="M406" s="16">
        <f t="shared" si="44"/>
        <v>0.18556701030927836</v>
      </c>
      <c r="N406" s="16">
        <f t="shared" si="45"/>
        <v>0.19072164948453607</v>
      </c>
      <c r="O406" s="16">
        <f t="shared" si="46"/>
        <v>0.21134020618556701</v>
      </c>
      <c r="P406" s="16">
        <f t="shared" si="47"/>
        <v>0.25773195876288657</v>
      </c>
    </row>
    <row r="407" spans="1:16" x14ac:dyDescent="0.3">
      <c r="A407" s="5" t="s">
        <v>126</v>
      </c>
      <c r="B407" s="5" t="s">
        <v>34</v>
      </c>
      <c r="C407" s="5" t="s">
        <v>35</v>
      </c>
      <c r="D407" s="7">
        <v>475</v>
      </c>
      <c r="E407" s="7">
        <v>447</v>
      </c>
      <c r="F407" s="7">
        <v>426</v>
      </c>
      <c r="G407" s="7">
        <v>423</v>
      </c>
      <c r="H407" s="7">
        <v>399</v>
      </c>
      <c r="J407" t="str">
        <f t="shared" si="42"/>
        <v>Kosovo</v>
      </c>
      <c r="K407" t="s">
        <v>105</v>
      </c>
      <c r="L407" s="16">
        <f t="shared" si="43"/>
        <v>0.21889400921658986</v>
      </c>
      <c r="M407" s="16">
        <f t="shared" si="44"/>
        <v>0.20599078341013824</v>
      </c>
      <c r="N407" s="16">
        <f t="shared" si="45"/>
        <v>0.19631336405529953</v>
      </c>
      <c r="O407" s="16">
        <f t="shared" si="46"/>
        <v>0.19493087557603686</v>
      </c>
      <c r="P407" s="16">
        <f t="shared" si="47"/>
        <v>0.18387096774193548</v>
      </c>
    </row>
    <row r="408" spans="1:16" x14ac:dyDescent="0.3">
      <c r="A408" s="5" t="s">
        <v>126</v>
      </c>
      <c r="B408" s="5" t="s">
        <v>36</v>
      </c>
      <c r="C408" s="5" t="s">
        <v>37</v>
      </c>
      <c r="D408" s="8">
        <v>51</v>
      </c>
      <c r="E408" s="8">
        <v>44</v>
      </c>
      <c r="F408" s="8">
        <v>42</v>
      </c>
      <c r="G408" s="8">
        <v>37</v>
      </c>
      <c r="H408" s="8">
        <v>38</v>
      </c>
      <c r="J408" t="str">
        <f t="shared" si="42"/>
        <v>Kosovo</v>
      </c>
      <c r="K408" t="s">
        <v>106</v>
      </c>
      <c r="L408" s="16">
        <f t="shared" si="43"/>
        <v>0.24056603773584906</v>
      </c>
      <c r="M408" s="16">
        <f t="shared" si="44"/>
        <v>0.20754716981132076</v>
      </c>
      <c r="N408" s="16">
        <f t="shared" si="45"/>
        <v>0.19811320754716982</v>
      </c>
      <c r="O408" s="16">
        <f t="shared" si="46"/>
        <v>0.17452830188679244</v>
      </c>
      <c r="P408" s="16">
        <f t="shared" si="47"/>
        <v>0.17924528301886791</v>
      </c>
    </row>
    <row r="409" spans="1:16" x14ac:dyDescent="0.3">
      <c r="A409" s="5" t="s">
        <v>126</v>
      </c>
      <c r="B409" s="5" t="s">
        <v>38</v>
      </c>
      <c r="C409" s="5" t="s">
        <v>39</v>
      </c>
      <c r="D409" s="7">
        <v>37</v>
      </c>
      <c r="E409" s="7">
        <v>32</v>
      </c>
      <c r="F409" s="7">
        <v>38</v>
      </c>
      <c r="G409" s="7">
        <v>45</v>
      </c>
      <c r="H409" s="7">
        <v>51</v>
      </c>
      <c r="J409" t="str">
        <f t="shared" si="42"/>
        <v>Kosovo</v>
      </c>
      <c r="K409" t="s">
        <v>107</v>
      </c>
      <c r="L409" s="16">
        <f t="shared" si="43"/>
        <v>0.18226600985221675</v>
      </c>
      <c r="M409" s="16">
        <f t="shared" si="44"/>
        <v>0.15763546798029557</v>
      </c>
      <c r="N409" s="16">
        <f t="shared" si="45"/>
        <v>0.18719211822660098</v>
      </c>
      <c r="O409" s="16">
        <f t="shared" si="46"/>
        <v>0.22167487684729065</v>
      </c>
      <c r="P409" s="16">
        <f t="shared" si="47"/>
        <v>0.25123152709359609</v>
      </c>
    </row>
    <row r="410" spans="1:16" x14ac:dyDescent="0.3">
      <c r="A410" s="5" t="s">
        <v>126</v>
      </c>
      <c r="B410" s="5" t="s">
        <v>40</v>
      </c>
      <c r="C410" s="5" t="s">
        <v>41</v>
      </c>
      <c r="D410" s="8">
        <v>274</v>
      </c>
      <c r="E410" s="8">
        <v>294</v>
      </c>
      <c r="F410" s="8">
        <v>306</v>
      </c>
      <c r="G410" s="8">
        <v>306</v>
      </c>
      <c r="H410" s="8">
        <v>292</v>
      </c>
      <c r="J410" t="str">
        <f t="shared" si="42"/>
        <v>Kosovo</v>
      </c>
      <c r="K410" t="s">
        <v>108</v>
      </c>
      <c r="L410" s="16">
        <f t="shared" si="43"/>
        <v>0.18614130434782608</v>
      </c>
      <c r="M410" s="16">
        <f t="shared" si="44"/>
        <v>0.19972826086956522</v>
      </c>
      <c r="N410" s="16">
        <f t="shared" si="45"/>
        <v>0.2078804347826087</v>
      </c>
      <c r="O410" s="16">
        <f t="shared" si="46"/>
        <v>0.2078804347826087</v>
      </c>
      <c r="P410" s="16">
        <f t="shared" si="47"/>
        <v>0.1983695652173913</v>
      </c>
    </row>
    <row r="411" spans="1:16" x14ac:dyDescent="0.3">
      <c r="A411" s="5" t="s">
        <v>126</v>
      </c>
      <c r="B411" s="5" t="s">
        <v>42</v>
      </c>
      <c r="C411" s="5" t="s">
        <v>43</v>
      </c>
      <c r="D411" s="7">
        <v>39</v>
      </c>
      <c r="E411" s="7">
        <v>37</v>
      </c>
      <c r="F411" s="7">
        <v>34</v>
      </c>
      <c r="G411" s="7">
        <v>34</v>
      </c>
      <c r="H411" s="7">
        <v>35</v>
      </c>
      <c r="J411" t="str">
        <f t="shared" si="42"/>
        <v>Kosovo</v>
      </c>
      <c r="K411" t="s">
        <v>109</v>
      </c>
      <c r="L411" s="16">
        <f t="shared" si="43"/>
        <v>0.21787709497206703</v>
      </c>
      <c r="M411" s="16">
        <f t="shared" si="44"/>
        <v>0.20670391061452514</v>
      </c>
      <c r="N411" s="16">
        <f t="shared" si="45"/>
        <v>0.18994413407821228</v>
      </c>
      <c r="O411" s="16">
        <f t="shared" si="46"/>
        <v>0.18994413407821228</v>
      </c>
      <c r="P411" s="16">
        <f t="shared" si="47"/>
        <v>0.19553072625698323</v>
      </c>
    </row>
    <row r="412" spans="1:16" x14ac:dyDescent="0.3">
      <c r="A412" s="5" t="s">
        <v>126</v>
      </c>
      <c r="B412" s="5" t="s">
        <v>44</v>
      </c>
      <c r="C412" s="5" t="s">
        <v>45</v>
      </c>
      <c r="D412" s="8">
        <v>36</v>
      </c>
      <c r="E412" s="8">
        <v>35</v>
      </c>
      <c r="F412" s="8">
        <v>27</v>
      </c>
      <c r="G412" s="8">
        <v>26</v>
      </c>
      <c r="H412" s="8">
        <v>20</v>
      </c>
      <c r="J412" t="str">
        <f t="shared" si="42"/>
        <v>Kosovo</v>
      </c>
      <c r="K412" t="s">
        <v>110</v>
      </c>
      <c r="L412" s="16">
        <f t="shared" si="43"/>
        <v>0.25</v>
      </c>
      <c r="M412" s="16">
        <f t="shared" si="44"/>
        <v>0.24305555555555555</v>
      </c>
      <c r="N412" s="16">
        <f t="shared" si="45"/>
        <v>0.1875</v>
      </c>
      <c r="O412" s="16">
        <f t="shared" si="46"/>
        <v>0.18055555555555555</v>
      </c>
      <c r="P412" s="16">
        <f t="shared" si="47"/>
        <v>0.1388888888888889</v>
      </c>
    </row>
    <row r="413" spans="1:16" x14ac:dyDescent="0.3">
      <c r="A413" s="5" t="s">
        <v>126</v>
      </c>
      <c r="B413" s="5" t="s">
        <v>46</v>
      </c>
      <c r="C413" s="5" t="s">
        <v>47</v>
      </c>
      <c r="D413" s="7">
        <v>29</v>
      </c>
      <c r="E413" s="7">
        <v>39</v>
      </c>
      <c r="F413" s="7">
        <v>45</v>
      </c>
      <c r="G413" s="7">
        <v>45</v>
      </c>
      <c r="H413" s="7">
        <v>52</v>
      </c>
      <c r="J413" t="str">
        <f t="shared" si="42"/>
        <v>Kosovo</v>
      </c>
      <c r="K413" t="s">
        <v>111</v>
      </c>
      <c r="L413" s="16">
        <f t="shared" si="43"/>
        <v>0.1380952380952381</v>
      </c>
      <c r="M413" s="16">
        <f t="shared" si="44"/>
        <v>0.18571428571428572</v>
      </c>
      <c r="N413" s="16">
        <f t="shared" si="45"/>
        <v>0.21428571428571427</v>
      </c>
      <c r="O413" s="16">
        <f t="shared" si="46"/>
        <v>0.21428571428571427</v>
      </c>
      <c r="P413" s="16">
        <f t="shared" si="47"/>
        <v>0.24761904761904763</v>
      </c>
    </row>
    <row r="414" spans="1:16" x14ac:dyDescent="0.3">
      <c r="A414" s="5" t="s">
        <v>126</v>
      </c>
      <c r="B414" s="5" t="s">
        <v>48</v>
      </c>
      <c r="C414" s="5" t="s">
        <v>49</v>
      </c>
      <c r="D414" s="8">
        <v>24</v>
      </c>
      <c r="E414" s="8">
        <v>27</v>
      </c>
      <c r="F414" s="8">
        <v>30</v>
      </c>
      <c r="G414" s="8">
        <v>27</v>
      </c>
      <c r="H414" s="8">
        <v>28</v>
      </c>
      <c r="J414" t="str">
        <f t="shared" si="42"/>
        <v>Kosovo</v>
      </c>
      <c r="K414" t="s">
        <v>112</v>
      </c>
      <c r="L414" s="16">
        <f t="shared" si="43"/>
        <v>0.17647058823529413</v>
      </c>
      <c r="M414" s="16">
        <f t="shared" si="44"/>
        <v>0.19852941176470587</v>
      </c>
      <c r="N414" s="16">
        <f t="shared" si="45"/>
        <v>0.22058823529411764</v>
      </c>
      <c r="O414" s="16">
        <f t="shared" si="46"/>
        <v>0.19852941176470587</v>
      </c>
      <c r="P414" s="16">
        <f t="shared" si="47"/>
        <v>0.20588235294117646</v>
      </c>
    </row>
    <row r="415" spans="1:16" x14ac:dyDescent="0.3">
      <c r="A415" s="5" t="s">
        <v>126</v>
      </c>
      <c r="B415" s="5" t="s">
        <v>50</v>
      </c>
      <c r="C415" s="5" t="s">
        <v>51</v>
      </c>
      <c r="D415" s="7">
        <v>3</v>
      </c>
      <c r="E415" s="7">
        <v>3</v>
      </c>
      <c r="F415" s="7">
        <v>4</v>
      </c>
      <c r="G415" s="7">
        <v>6</v>
      </c>
      <c r="H415" s="7">
        <v>8</v>
      </c>
      <c r="J415" t="str">
        <f t="shared" si="42"/>
        <v>Kosovo</v>
      </c>
      <c r="K415" t="s">
        <v>113</v>
      </c>
      <c r="L415" s="16">
        <f t="shared" si="43"/>
        <v>0.125</v>
      </c>
      <c r="M415" s="16">
        <f t="shared" si="44"/>
        <v>0.125</v>
      </c>
      <c r="N415" s="16">
        <f t="shared" si="45"/>
        <v>0.16666666666666666</v>
      </c>
      <c r="O415" s="16">
        <f t="shared" si="46"/>
        <v>0.25</v>
      </c>
      <c r="P415" s="16">
        <f t="shared" si="47"/>
        <v>0.33333333333333331</v>
      </c>
    </row>
    <row r="416" spans="1:16" x14ac:dyDescent="0.3">
      <c r="A416" s="5" t="s">
        <v>126</v>
      </c>
      <c r="B416" s="5" t="s">
        <v>52</v>
      </c>
      <c r="C416" s="5" t="s">
        <v>53</v>
      </c>
      <c r="D416" s="8">
        <v>1</v>
      </c>
      <c r="E416" s="8">
        <v>4</v>
      </c>
      <c r="F416" s="8">
        <v>3</v>
      </c>
      <c r="G416" s="8">
        <v>7</v>
      </c>
      <c r="H416" s="8">
        <v>6</v>
      </c>
      <c r="J416" t="str">
        <f t="shared" si="42"/>
        <v>Kosovo</v>
      </c>
      <c r="K416" t="s">
        <v>114</v>
      </c>
      <c r="L416" s="16">
        <f t="shared" si="43"/>
        <v>4.7619047619047616E-2</v>
      </c>
      <c r="M416" s="16">
        <f t="shared" si="44"/>
        <v>0.19047619047619047</v>
      </c>
      <c r="N416" s="16">
        <f t="shared" si="45"/>
        <v>0.14285714285714285</v>
      </c>
      <c r="O416" s="16">
        <f t="shared" si="46"/>
        <v>0.33333333333333331</v>
      </c>
      <c r="P416" s="16">
        <f t="shared" si="47"/>
        <v>0.2857142857142857</v>
      </c>
    </row>
    <row r="417" spans="1:16" x14ac:dyDescent="0.3">
      <c r="A417" s="5" t="s">
        <v>126</v>
      </c>
      <c r="B417" s="5" t="s">
        <v>54</v>
      </c>
      <c r="C417" s="5" t="s">
        <v>55</v>
      </c>
      <c r="D417" s="7">
        <v>8</v>
      </c>
      <c r="E417" s="7">
        <v>15</v>
      </c>
      <c r="F417" s="7">
        <v>19</v>
      </c>
      <c r="G417" s="7">
        <v>21</v>
      </c>
      <c r="H417" s="7">
        <v>37</v>
      </c>
      <c r="J417" t="str">
        <f t="shared" si="42"/>
        <v>Kosovo</v>
      </c>
      <c r="K417" t="s">
        <v>115</v>
      </c>
      <c r="L417" s="16">
        <f t="shared" si="43"/>
        <v>0.08</v>
      </c>
      <c r="M417" s="16">
        <f t="shared" si="44"/>
        <v>0.15</v>
      </c>
      <c r="N417" s="16">
        <f t="shared" si="45"/>
        <v>0.19</v>
      </c>
      <c r="O417" s="16">
        <f t="shared" si="46"/>
        <v>0.21</v>
      </c>
      <c r="P417" s="16">
        <f t="shared" si="47"/>
        <v>0.37</v>
      </c>
    </row>
    <row r="418" spans="1:16" x14ac:dyDescent="0.3">
      <c r="A418" s="5" t="s">
        <v>126</v>
      </c>
      <c r="B418" s="5" t="s">
        <v>56</v>
      </c>
      <c r="C418" s="5" t="s">
        <v>57</v>
      </c>
      <c r="D418" s="8">
        <v>22</v>
      </c>
      <c r="E418" s="8">
        <v>22</v>
      </c>
      <c r="F418" s="8">
        <v>26</v>
      </c>
      <c r="G418" s="8">
        <v>24</v>
      </c>
      <c r="H418" s="8">
        <v>33</v>
      </c>
      <c r="J418" t="str">
        <f t="shared" si="42"/>
        <v>Kosovo</v>
      </c>
      <c r="K418" t="s">
        <v>116</v>
      </c>
      <c r="L418" s="16">
        <f t="shared" si="43"/>
        <v>0.17322834645669291</v>
      </c>
      <c r="M418" s="16">
        <f t="shared" si="44"/>
        <v>0.17322834645669291</v>
      </c>
      <c r="N418" s="16">
        <f t="shared" si="45"/>
        <v>0.20472440944881889</v>
      </c>
      <c r="O418" s="16">
        <f t="shared" si="46"/>
        <v>0.1889763779527559</v>
      </c>
      <c r="P418" s="16">
        <f t="shared" si="47"/>
        <v>0.25984251968503935</v>
      </c>
    </row>
    <row r="420" spans="1:16" x14ac:dyDescent="0.3">
      <c r="A420" s="1" t="s">
        <v>103</v>
      </c>
    </row>
    <row r="421" spans="1:16" x14ac:dyDescent="0.3">
      <c r="A421" s="1" t="s">
        <v>102</v>
      </c>
      <c r="B421" s="2" t="s">
        <v>104</v>
      </c>
    </row>
  </sheetData>
  <mergeCells count="1">
    <mergeCell ref="A9:C9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0"/>
  <sheetViews>
    <sheetView zoomScale="79" workbookViewId="0">
      <pane xSplit="3" ySplit="10" topLeftCell="D13" activePane="bottomRight" state="frozen"/>
      <selection pane="topRight"/>
      <selection pane="bottomLeft"/>
      <selection pane="bottomRight" activeCell="C20" sqref="C20"/>
    </sheetView>
  </sheetViews>
  <sheetFormatPr defaultRowHeight="11.4" customHeight="1" x14ac:dyDescent="0.3"/>
  <cols>
    <col min="1" max="2" width="16.88671875" customWidth="1"/>
    <col min="3" max="3" width="29.88671875" customWidth="1"/>
    <col min="4" max="4" width="14" customWidth="1"/>
    <col min="5" max="5" width="14.88671875" customWidth="1"/>
    <col min="6" max="6" width="14" customWidth="1"/>
    <col min="7" max="7" width="14.88671875" customWidth="1"/>
    <col min="8" max="8" width="14" customWidth="1"/>
  </cols>
  <sheetData>
    <row r="1" spans="1:8" x14ac:dyDescent="0.3">
      <c r="A1" s="2" t="s">
        <v>95</v>
      </c>
    </row>
    <row r="2" spans="1:8" x14ac:dyDescent="0.3">
      <c r="A2" s="2" t="s">
        <v>96</v>
      </c>
      <c r="B2" s="1" t="s">
        <v>0</v>
      </c>
    </row>
    <row r="3" spans="1:8" x14ac:dyDescent="0.3">
      <c r="A3" s="2" t="s">
        <v>97</v>
      </c>
      <c r="B3" s="2" t="s">
        <v>6</v>
      </c>
    </row>
    <row r="4" spans="1:8" x14ac:dyDescent="0.3"/>
    <row r="5" spans="1:8" x14ac:dyDescent="0.3">
      <c r="A5" s="1" t="s">
        <v>12</v>
      </c>
      <c r="C5" s="2" t="s">
        <v>16</v>
      </c>
    </row>
    <row r="6" spans="1:8" x14ac:dyDescent="0.3">
      <c r="A6" s="1" t="s">
        <v>13</v>
      </c>
      <c r="C6" s="2" t="s">
        <v>17</v>
      </c>
    </row>
    <row r="7" spans="1:8" x14ac:dyDescent="0.3">
      <c r="A7" s="1" t="s">
        <v>14</v>
      </c>
      <c r="C7" s="2" t="s">
        <v>18</v>
      </c>
    </row>
    <row r="8" spans="1:8" x14ac:dyDescent="0.3"/>
    <row r="9" spans="1:8" x14ac:dyDescent="0.3">
      <c r="A9" s="21" t="s">
        <v>98</v>
      </c>
      <c r="B9" s="21" t="s">
        <v>98</v>
      </c>
      <c r="C9" s="21" t="s">
        <v>98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</row>
    <row r="10" spans="1:8" x14ac:dyDescent="0.3">
      <c r="A10" s="4" t="s">
        <v>99</v>
      </c>
      <c r="B10" s="4" t="s">
        <v>100</v>
      </c>
      <c r="C10" s="4" t="s">
        <v>101</v>
      </c>
      <c r="D10" s="6" t="s">
        <v>22</v>
      </c>
      <c r="E10" s="6" t="s">
        <v>22</v>
      </c>
      <c r="F10" s="6" t="s">
        <v>22</v>
      </c>
      <c r="G10" s="6" t="s">
        <v>22</v>
      </c>
      <c r="H10" s="6" t="s">
        <v>22</v>
      </c>
    </row>
    <row r="11" spans="1:8" x14ac:dyDescent="0.3">
      <c r="A11" s="5" t="s">
        <v>59</v>
      </c>
      <c r="B11" s="5" t="s">
        <v>34</v>
      </c>
      <c r="C11" s="5" t="s">
        <v>35</v>
      </c>
      <c r="D11" s="7" t="s">
        <v>22</v>
      </c>
      <c r="E11" s="7" t="s">
        <v>22</v>
      </c>
      <c r="F11" s="7" t="s">
        <v>22</v>
      </c>
      <c r="G11" s="7" t="s">
        <v>22</v>
      </c>
      <c r="H11" s="7" t="s">
        <v>22</v>
      </c>
    </row>
    <row r="12" spans="1:8" x14ac:dyDescent="0.3">
      <c r="A12" s="5" t="s">
        <v>59</v>
      </c>
      <c r="B12" s="5" t="s">
        <v>36</v>
      </c>
      <c r="C12" s="5" t="s">
        <v>37</v>
      </c>
      <c r="D12" s="8" t="s">
        <v>22</v>
      </c>
      <c r="E12" s="8" t="s">
        <v>22</v>
      </c>
      <c r="F12" s="8" t="s">
        <v>22</v>
      </c>
      <c r="G12" s="8" t="s">
        <v>22</v>
      </c>
      <c r="H12" s="8" t="s">
        <v>22</v>
      </c>
    </row>
    <row r="13" spans="1:8" x14ac:dyDescent="0.3">
      <c r="A13" s="5" t="s">
        <v>59</v>
      </c>
      <c r="B13" s="5" t="s">
        <v>38</v>
      </c>
      <c r="C13" s="5" t="s">
        <v>39</v>
      </c>
      <c r="D13" s="7" t="s">
        <v>22</v>
      </c>
      <c r="E13" s="7" t="s">
        <v>22</v>
      </c>
      <c r="F13" s="7" t="s">
        <v>22</v>
      </c>
      <c r="G13" s="7" t="s">
        <v>22</v>
      </c>
      <c r="H13" s="7" t="s">
        <v>22</v>
      </c>
    </row>
    <row r="14" spans="1:8" x14ac:dyDescent="0.3">
      <c r="A14" s="5" t="s">
        <v>59</v>
      </c>
      <c r="B14" s="5" t="s">
        <v>40</v>
      </c>
      <c r="C14" s="5" t="s">
        <v>41</v>
      </c>
      <c r="D14" s="8" t="s">
        <v>22</v>
      </c>
      <c r="E14" s="8" t="s">
        <v>22</v>
      </c>
      <c r="F14" s="8" t="s">
        <v>22</v>
      </c>
      <c r="G14" s="8" t="s">
        <v>22</v>
      </c>
      <c r="H14" s="8" t="s">
        <v>22</v>
      </c>
    </row>
    <row r="15" spans="1:8" x14ac:dyDescent="0.3">
      <c r="A15" s="5" t="s">
        <v>59</v>
      </c>
      <c r="B15" s="5" t="s">
        <v>42</v>
      </c>
      <c r="C15" s="5" t="s">
        <v>43</v>
      </c>
      <c r="D15" s="7" t="s">
        <v>22</v>
      </c>
      <c r="E15" s="7" t="s">
        <v>22</v>
      </c>
      <c r="F15" s="7" t="s">
        <v>22</v>
      </c>
      <c r="G15" s="7" t="s">
        <v>22</v>
      </c>
      <c r="H15" s="7" t="s">
        <v>22</v>
      </c>
    </row>
    <row r="16" spans="1:8" x14ac:dyDescent="0.3">
      <c r="A16" s="5" t="s">
        <v>59</v>
      </c>
      <c r="B16" s="5" t="s">
        <v>44</v>
      </c>
      <c r="C16" s="5" t="s">
        <v>45</v>
      </c>
      <c r="D16" s="8" t="s">
        <v>22</v>
      </c>
      <c r="E16" s="8" t="s">
        <v>22</v>
      </c>
      <c r="F16" s="8" t="s">
        <v>22</v>
      </c>
      <c r="G16" s="8" t="s">
        <v>22</v>
      </c>
      <c r="H16" s="8" t="s">
        <v>22</v>
      </c>
    </row>
    <row r="17" spans="1:8" x14ac:dyDescent="0.3">
      <c r="A17" s="5" t="s">
        <v>59</v>
      </c>
      <c r="B17" s="5" t="s">
        <v>46</v>
      </c>
      <c r="C17" s="5" t="s">
        <v>47</v>
      </c>
      <c r="D17" s="7" t="s">
        <v>22</v>
      </c>
      <c r="E17" s="7" t="s">
        <v>22</v>
      </c>
      <c r="F17" s="7" t="s">
        <v>22</v>
      </c>
      <c r="G17" s="7" t="s">
        <v>22</v>
      </c>
      <c r="H17" s="7" t="s">
        <v>22</v>
      </c>
    </row>
    <row r="18" spans="1:8" x14ac:dyDescent="0.3">
      <c r="A18" s="5" t="s">
        <v>59</v>
      </c>
      <c r="B18" s="5" t="s">
        <v>48</v>
      </c>
      <c r="C18" s="5" t="s">
        <v>49</v>
      </c>
      <c r="D18" s="8" t="s">
        <v>22</v>
      </c>
      <c r="E18" s="8" t="s">
        <v>22</v>
      </c>
      <c r="F18" s="8" t="s">
        <v>22</v>
      </c>
      <c r="G18" s="8" t="s">
        <v>22</v>
      </c>
      <c r="H18" s="8" t="s">
        <v>22</v>
      </c>
    </row>
    <row r="19" spans="1:8" x14ac:dyDescent="0.3">
      <c r="A19" s="5" t="s">
        <v>59</v>
      </c>
      <c r="B19" s="5" t="s">
        <v>50</v>
      </c>
      <c r="C19" s="5" t="s">
        <v>51</v>
      </c>
      <c r="D19" s="7" t="s">
        <v>22</v>
      </c>
      <c r="E19" s="7" t="s">
        <v>22</v>
      </c>
      <c r="F19" s="7" t="s">
        <v>22</v>
      </c>
      <c r="G19" s="7" t="s">
        <v>22</v>
      </c>
      <c r="H19" s="7" t="s">
        <v>22</v>
      </c>
    </row>
    <row r="20" spans="1:8" x14ac:dyDescent="0.3">
      <c r="A20" s="5" t="s">
        <v>59</v>
      </c>
      <c r="B20" s="5" t="s">
        <v>52</v>
      </c>
      <c r="C20" s="5" t="s">
        <v>53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</row>
    <row r="21" spans="1:8" x14ac:dyDescent="0.3">
      <c r="A21" s="5" t="s">
        <v>59</v>
      </c>
      <c r="B21" s="5" t="s">
        <v>54</v>
      </c>
      <c r="C21" s="5" t="s">
        <v>55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</row>
    <row r="22" spans="1:8" x14ac:dyDescent="0.3">
      <c r="A22" s="5" t="s">
        <v>59</v>
      </c>
      <c r="B22" s="5" t="s">
        <v>56</v>
      </c>
      <c r="C22" s="5" t="s">
        <v>57</v>
      </c>
      <c r="D22" s="8" t="s">
        <v>22</v>
      </c>
      <c r="E22" s="8" t="s">
        <v>22</v>
      </c>
      <c r="F22" s="8" t="s">
        <v>22</v>
      </c>
      <c r="G22" s="8" t="s">
        <v>22</v>
      </c>
      <c r="H22" s="8" t="s">
        <v>22</v>
      </c>
    </row>
    <row r="23" spans="1:8" x14ac:dyDescent="0.3">
      <c r="A23" s="5" t="s">
        <v>60</v>
      </c>
      <c r="B23" s="5" t="s">
        <v>34</v>
      </c>
      <c r="C23" s="5" t="s">
        <v>35</v>
      </c>
      <c r="D23" s="7" t="s">
        <v>22</v>
      </c>
      <c r="E23" s="7" t="s">
        <v>22</v>
      </c>
      <c r="F23" s="7" t="s">
        <v>22</v>
      </c>
      <c r="G23" s="7" t="s">
        <v>22</v>
      </c>
      <c r="H23" s="7" t="s">
        <v>22</v>
      </c>
    </row>
    <row r="24" spans="1:8" x14ac:dyDescent="0.3">
      <c r="A24" s="5" t="s">
        <v>60</v>
      </c>
      <c r="B24" s="5" t="s">
        <v>36</v>
      </c>
      <c r="C24" s="5" t="s">
        <v>37</v>
      </c>
      <c r="D24" s="8" t="s">
        <v>22</v>
      </c>
      <c r="E24" s="8" t="s">
        <v>22</v>
      </c>
      <c r="F24" s="8" t="s">
        <v>22</v>
      </c>
      <c r="G24" s="8" t="s">
        <v>22</v>
      </c>
      <c r="H24" s="8" t="s">
        <v>22</v>
      </c>
    </row>
    <row r="25" spans="1:8" x14ac:dyDescent="0.3">
      <c r="A25" s="5" t="s">
        <v>60</v>
      </c>
      <c r="B25" s="5" t="s">
        <v>38</v>
      </c>
      <c r="C25" s="5" t="s">
        <v>39</v>
      </c>
      <c r="D25" s="7" t="s">
        <v>22</v>
      </c>
      <c r="E25" s="7" t="s">
        <v>22</v>
      </c>
      <c r="F25" s="7" t="s">
        <v>22</v>
      </c>
      <c r="G25" s="7" t="s">
        <v>22</v>
      </c>
      <c r="H25" s="7" t="s">
        <v>22</v>
      </c>
    </row>
    <row r="26" spans="1:8" x14ac:dyDescent="0.3">
      <c r="A26" s="5" t="s">
        <v>60</v>
      </c>
      <c r="B26" s="5" t="s">
        <v>40</v>
      </c>
      <c r="C26" s="5" t="s">
        <v>41</v>
      </c>
      <c r="D26" s="8" t="s">
        <v>22</v>
      </c>
      <c r="E26" s="8" t="s">
        <v>22</v>
      </c>
      <c r="F26" s="8" t="s">
        <v>22</v>
      </c>
      <c r="G26" s="8" t="s">
        <v>22</v>
      </c>
      <c r="H26" s="8" t="s">
        <v>22</v>
      </c>
    </row>
    <row r="27" spans="1:8" x14ac:dyDescent="0.3">
      <c r="A27" s="5" t="s">
        <v>60</v>
      </c>
      <c r="B27" s="5" t="s">
        <v>42</v>
      </c>
      <c r="C27" s="5" t="s">
        <v>43</v>
      </c>
      <c r="D27" s="7" t="s">
        <v>22</v>
      </c>
      <c r="E27" s="7" t="s">
        <v>22</v>
      </c>
      <c r="F27" s="7" t="s">
        <v>22</v>
      </c>
      <c r="G27" s="7" t="s">
        <v>22</v>
      </c>
      <c r="H27" s="7" t="s">
        <v>22</v>
      </c>
    </row>
    <row r="28" spans="1:8" x14ac:dyDescent="0.3">
      <c r="A28" s="5" t="s">
        <v>60</v>
      </c>
      <c r="B28" s="5" t="s">
        <v>44</v>
      </c>
      <c r="C28" s="5" t="s">
        <v>45</v>
      </c>
      <c r="D28" s="8" t="s">
        <v>22</v>
      </c>
      <c r="E28" s="8" t="s">
        <v>22</v>
      </c>
      <c r="F28" s="8" t="s">
        <v>22</v>
      </c>
      <c r="G28" s="8" t="s">
        <v>22</v>
      </c>
      <c r="H28" s="8" t="s">
        <v>22</v>
      </c>
    </row>
    <row r="29" spans="1:8" x14ac:dyDescent="0.3">
      <c r="A29" s="5" t="s">
        <v>60</v>
      </c>
      <c r="B29" s="5" t="s">
        <v>46</v>
      </c>
      <c r="C29" s="5" t="s">
        <v>47</v>
      </c>
      <c r="D29" s="7" t="s">
        <v>22</v>
      </c>
      <c r="E29" s="7" t="s">
        <v>22</v>
      </c>
      <c r="F29" s="7" t="s">
        <v>22</v>
      </c>
      <c r="G29" s="7" t="s">
        <v>22</v>
      </c>
      <c r="H29" s="7" t="s">
        <v>22</v>
      </c>
    </row>
    <row r="30" spans="1:8" x14ac:dyDescent="0.3">
      <c r="A30" s="5" t="s">
        <v>60</v>
      </c>
      <c r="B30" s="5" t="s">
        <v>48</v>
      </c>
      <c r="C30" s="5" t="s">
        <v>49</v>
      </c>
      <c r="D30" s="8" t="s">
        <v>22</v>
      </c>
      <c r="E30" s="8" t="s">
        <v>22</v>
      </c>
      <c r="F30" s="8" t="s">
        <v>22</v>
      </c>
      <c r="G30" s="8" t="s">
        <v>22</v>
      </c>
      <c r="H30" s="8" t="s">
        <v>22</v>
      </c>
    </row>
    <row r="31" spans="1:8" x14ac:dyDescent="0.3">
      <c r="A31" s="5" t="s">
        <v>60</v>
      </c>
      <c r="B31" s="5" t="s">
        <v>50</v>
      </c>
      <c r="C31" s="5" t="s">
        <v>51</v>
      </c>
      <c r="D31" s="7" t="s">
        <v>22</v>
      </c>
      <c r="E31" s="7" t="s">
        <v>22</v>
      </c>
      <c r="F31" s="7" t="s">
        <v>22</v>
      </c>
      <c r="G31" s="7" t="s">
        <v>22</v>
      </c>
      <c r="H31" s="7" t="s">
        <v>22</v>
      </c>
    </row>
    <row r="32" spans="1:8" x14ac:dyDescent="0.3">
      <c r="A32" s="5" t="s">
        <v>60</v>
      </c>
      <c r="B32" s="5" t="s">
        <v>52</v>
      </c>
      <c r="C32" s="5" t="s">
        <v>53</v>
      </c>
      <c r="D32" s="8" t="s">
        <v>22</v>
      </c>
      <c r="E32" s="8" t="s">
        <v>22</v>
      </c>
      <c r="F32" s="8" t="s">
        <v>22</v>
      </c>
      <c r="G32" s="8" t="s">
        <v>22</v>
      </c>
      <c r="H32" s="8" t="s">
        <v>22</v>
      </c>
    </row>
    <row r="33" spans="1:8" x14ac:dyDescent="0.3">
      <c r="A33" s="5" t="s">
        <v>60</v>
      </c>
      <c r="B33" s="5" t="s">
        <v>54</v>
      </c>
      <c r="C33" s="5" t="s">
        <v>55</v>
      </c>
      <c r="D33" s="7" t="s">
        <v>22</v>
      </c>
      <c r="E33" s="7" t="s">
        <v>22</v>
      </c>
      <c r="F33" s="7" t="s">
        <v>22</v>
      </c>
      <c r="G33" s="7" t="s">
        <v>22</v>
      </c>
      <c r="H33" s="7" t="s">
        <v>22</v>
      </c>
    </row>
    <row r="34" spans="1:8" x14ac:dyDescent="0.3">
      <c r="A34" s="5" t="s">
        <v>60</v>
      </c>
      <c r="B34" s="5" t="s">
        <v>56</v>
      </c>
      <c r="C34" s="5" t="s">
        <v>57</v>
      </c>
      <c r="D34" s="8" t="s">
        <v>22</v>
      </c>
      <c r="E34" s="8" t="s">
        <v>22</v>
      </c>
      <c r="F34" s="8" t="s">
        <v>22</v>
      </c>
      <c r="G34" s="8" t="s">
        <v>22</v>
      </c>
      <c r="H34" s="8" t="s">
        <v>22</v>
      </c>
    </row>
    <row r="35" spans="1:8" x14ac:dyDescent="0.3">
      <c r="A35" s="5" t="s">
        <v>61</v>
      </c>
      <c r="B35" s="5" t="s">
        <v>34</v>
      </c>
      <c r="C35" s="5" t="s">
        <v>35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</row>
    <row r="36" spans="1:8" x14ac:dyDescent="0.3">
      <c r="A36" s="5" t="s">
        <v>61</v>
      </c>
      <c r="B36" s="5" t="s">
        <v>36</v>
      </c>
      <c r="C36" s="5" t="s">
        <v>37</v>
      </c>
      <c r="D36" s="8" t="s">
        <v>22</v>
      </c>
      <c r="E36" s="8" t="s">
        <v>22</v>
      </c>
      <c r="F36" s="8" t="s">
        <v>22</v>
      </c>
      <c r="G36" s="8" t="s">
        <v>22</v>
      </c>
      <c r="H36" s="8" t="s">
        <v>22</v>
      </c>
    </row>
    <row r="37" spans="1:8" x14ac:dyDescent="0.3">
      <c r="A37" s="5" t="s">
        <v>61</v>
      </c>
      <c r="B37" s="5" t="s">
        <v>38</v>
      </c>
      <c r="C37" s="5" t="s">
        <v>39</v>
      </c>
      <c r="D37" s="7" t="s">
        <v>22</v>
      </c>
      <c r="E37" s="7" t="s">
        <v>22</v>
      </c>
      <c r="F37" s="7" t="s">
        <v>22</v>
      </c>
      <c r="G37" s="7" t="s">
        <v>22</v>
      </c>
      <c r="H37" s="7" t="s">
        <v>22</v>
      </c>
    </row>
    <row r="38" spans="1:8" x14ac:dyDescent="0.3">
      <c r="A38" s="5" t="s">
        <v>61</v>
      </c>
      <c r="B38" s="5" t="s">
        <v>40</v>
      </c>
      <c r="C38" s="5" t="s">
        <v>41</v>
      </c>
      <c r="D38" s="8" t="s">
        <v>22</v>
      </c>
      <c r="E38" s="8" t="s">
        <v>22</v>
      </c>
      <c r="F38" s="8" t="s">
        <v>22</v>
      </c>
      <c r="G38" s="8" t="s">
        <v>22</v>
      </c>
      <c r="H38" s="8" t="s">
        <v>22</v>
      </c>
    </row>
    <row r="39" spans="1:8" x14ac:dyDescent="0.3">
      <c r="A39" s="5" t="s">
        <v>61</v>
      </c>
      <c r="B39" s="5" t="s">
        <v>42</v>
      </c>
      <c r="C39" s="5" t="s">
        <v>43</v>
      </c>
      <c r="D39" s="7" t="s">
        <v>22</v>
      </c>
      <c r="E39" s="7" t="s">
        <v>22</v>
      </c>
      <c r="F39" s="7" t="s">
        <v>22</v>
      </c>
      <c r="G39" s="7" t="s">
        <v>22</v>
      </c>
      <c r="H39" s="7" t="s">
        <v>22</v>
      </c>
    </row>
    <row r="40" spans="1:8" x14ac:dyDescent="0.3">
      <c r="A40" s="5" t="s">
        <v>61</v>
      </c>
      <c r="B40" s="5" t="s">
        <v>44</v>
      </c>
      <c r="C40" s="5" t="s">
        <v>45</v>
      </c>
      <c r="D40" s="8" t="s">
        <v>22</v>
      </c>
      <c r="E40" s="8" t="s">
        <v>22</v>
      </c>
      <c r="F40" s="8" t="s">
        <v>22</v>
      </c>
      <c r="G40" s="8" t="s">
        <v>22</v>
      </c>
      <c r="H40" s="8" t="s">
        <v>22</v>
      </c>
    </row>
    <row r="41" spans="1:8" x14ac:dyDescent="0.3">
      <c r="A41" s="5" t="s">
        <v>61</v>
      </c>
      <c r="B41" s="5" t="s">
        <v>46</v>
      </c>
      <c r="C41" s="5" t="s">
        <v>47</v>
      </c>
      <c r="D41" s="7" t="s">
        <v>22</v>
      </c>
      <c r="E41" s="7" t="s">
        <v>22</v>
      </c>
      <c r="F41" s="7" t="s">
        <v>22</v>
      </c>
      <c r="G41" s="7" t="s">
        <v>22</v>
      </c>
      <c r="H41" s="7" t="s">
        <v>22</v>
      </c>
    </row>
    <row r="42" spans="1:8" x14ac:dyDescent="0.3">
      <c r="A42" s="5" t="s">
        <v>61</v>
      </c>
      <c r="B42" s="5" t="s">
        <v>48</v>
      </c>
      <c r="C42" s="5" t="s">
        <v>49</v>
      </c>
      <c r="D42" s="8" t="s">
        <v>22</v>
      </c>
      <c r="E42" s="8" t="s">
        <v>22</v>
      </c>
      <c r="F42" s="8" t="s">
        <v>22</v>
      </c>
      <c r="G42" s="8" t="s">
        <v>22</v>
      </c>
      <c r="H42" s="8" t="s">
        <v>22</v>
      </c>
    </row>
    <row r="43" spans="1:8" x14ac:dyDescent="0.3">
      <c r="A43" s="5" t="s">
        <v>61</v>
      </c>
      <c r="B43" s="5" t="s">
        <v>50</v>
      </c>
      <c r="C43" s="5" t="s">
        <v>51</v>
      </c>
      <c r="D43" s="7" t="s">
        <v>22</v>
      </c>
      <c r="E43" s="7" t="s">
        <v>22</v>
      </c>
      <c r="F43" s="7" t="s">
        <v>22</v>
      </c>
      <c r="G43" s="7" t="s">
        <v>22</v>
      </c>
      <c r="H43" s="7" t="s">
        <v>22</v>
      </c>
    </row>
    <row r="44" spans="1:8" x14ac:dyDescent="0.3">
      <c r="A44" s="5" t="s">
        <v>61</v>
      </c>
      <c r="B44" s="5" t="s">
        <v>52</v>
      </c>
      <c r="C44" s="5" t="s">
        <v>53</v>
      </c>
      <c r="D44" s="8" t="s">
        <v>22</v>
      </c>
      <c r="E44" s="8" t="s">
        <v>22</v>
      </c>
      <c r="F44" s="8" t="s">
        <v>22</v>
      </c>
      <c r="G44" s="8" t="s">
        <v>22</v>
      </c>
      <c r="H44" s="8" t="s">
        <v>22</v>
      </c>
    </row>
    <row r="45" spans="1:8" x14ac:dyDescent="0.3">
      <c r="A45" s="5" t="s">
        <v>61</v>
      </c>
      <c r="B45" s="5" t="s">
        <v>54</v>
      </c>
      <c r="C45" s="5" t="s">
        <v>55</v>
      </c>
      <c r="D45" s="7" t="s">
        <v>22</v>
      </c>
      <c r="E45" s="7" t="s">
        <v>22</v>
      </c>
      <c r="F45" s="7" t="s">
        <v>22</v>
      </c>
      <c r="G45" s="7" t="s">
        <v>22</v>
      </c>
      <c r="H45" s="7" t="s">
        <v>22</v>
      </c>
    </row>
    <row r="46" spans="1:8" x14ac:dyDescent="0.3">
      <c r="A46" s="5" t="s">
        <v>61</v>
      </c>
      <c r="B46" s="5" t="s">
        <v>56</v>
      </c>
      <c r="C46" s="5" t="s">
        <v>57</v>
      </c>
      <c r="D46" s="8" t="s">
        <v>22</v>
      </c>
      <c r="E46" s="8" t="s">
        <v>22</v>
      </c>
      <c r="F46" s="8" t="s">
        <v>22</v>
      </c>
      <c r="G46" s="8" t="s">
        <v>22</v>
      </c>
      <c r="H46" s="8" t="s">
        <v>22</v>
      </c>
    </row>
    <row r="47" spans="1:8" x14ac:dyDescent="0.3">
      <c r="A47" s="5" t="s">
        <v>62</v>
      </c>
      <c r="B47" s="5" t="s">
        <v>34</v>
      </c>
      <c r="C47" s="5" t="s">
        <v>35</v>
      </c>
      <c r="D47" s="7" t="s">
        <v>22</v>
      </c>
      <c r="E47" s="7" t="s">
        <v>22</v>
      </c>
      <c r="F47" s="7" t="s">
        <v>22</v>
      </c>
      <c r="G47" s="7" t="s">
        <v>22</v>
      </c>
      <c r="H47" s="7" t="s">
        <v>22</v>
      </c>
    </row>
    <row r="48" spans="1:8" x14ac:dyDescent="0.3">
      <c r="A48" s="5" t="s">
        <v>62</v>
      </c>
      <c r="B48" s="5" t="s">
        <v>36</v>
      </c>
      <c r="C48" s="5" t="s">
        <v>37</v>
      </c>
      <c r="D48" s="8" t="s">
        <v>22</v>
      </c>
      <c r="E48" s="8" t="s">
        <v>22</v>
      </c>
      <c r="F48" s="8" t="s">
        <v>22</v>
      </c>
      <c r="G48" s="8" t="s">
        <v>22</v>
      </c>
      <c r="H48" s="8" t="s">
        <v>22</v>
      </c>
    </row>
    <row r="49" spans="1:8" x14ac:dyDescent="0.3">
      <c r="A49" s="5" t="s">
        <v>62</v>
      </c>
      <c r="B49" s="5" t="s">
        <v>38</v>
      </c>
      <c r="C49" s="5" t="s">
        <v>39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</row>
    <row r="50" spans="1:8" x14ac:dyDescent="0.3">
      <c r="A50" s="5" t="s">
        <v>62</v>
      </c>
      <c r="B50" s="5" t="s">
        <v>40</v>
      </c>
      <c r="C50" s="5" t="s">
        <v>41</v>
      </c>
      <c r="D50" s="8" t="s">
        <v>22</v>
      </c>
      <c r="E50" s="8" t="s">
        <v>22</v>
      </c>
      <c r="F50" s="8" t="s">
        <v>22</v>
      </c>
      <c r="G50" s="8" t="s">
        <v>22</v>
      </c>
      <c r="H50" s="8" t="s">
        <v>22</v>
      </c>
    </row>
    <row r="51" spans="1:8" x14ac:dyDescent="0.3">
      <c r="A51" s="5" t="s">
        <v>62</v>
      </c>
      <c r="B51" s="5" t="s">
        <v>42</v>
      </c>
      <c r="C51" s="5" t="s">
        <v>43</v>
      </c>
      <c r="D51" s="7" t="s">
        <v>22</v>
      </c>
      <c r="E51" s="7" t="s">
        <v>22</v>
      </c>
      <c r="F51" s="7" t="s">
        <v>22</v>
      </c>
      <c r="G51" s="7" t="s">
        <v>22</v>
      </c>
      <c r="H51" s="7" t="s">
        <v>22</v>
      </c>
    </row>
    <row r="52" spans="1:8" x14ac:dyDescent="0.3">
      <c r="A52" s="5" t="s">
        <v>62</v>
      </c>
      <c r="B52" s="5" t="s">
        <v>44</v>
      </c>
      <c r="C52" s="5" t="s">
        <v>45</v>
      </c>
      <c r="D52" s="8" t="s">
        <v>22</v>
      </c>
      <c r="E52" s="8" t="s">
        <v>22</v>
      </c>
      <c r="F52" s="8" t="s">
        <v>22</v>
      </c>
      <c r="G52" s="8" t="s">
        <v>22</v>
      </c>
      <c r="H52" s="8" t="s">
        <v>22</v>
      </c>
    </row>
    <row r="53" spans="1:8" x14ac:dyDescent="0.3">
      <c r="A53" s="5" t="s">
        <v>62</v>
      </c>
      <c r="B53" s="5" t="s">
        <v>46</v>
      </c>
      <c r="C53" s="5" t="s">
        <v>47</v>
      </c>
      <c r="D53" s="7" t="s">
        <v>22</v>
      </c>
      <c r="E53" s="7" t="s">
        <v>22</v>
      </c>
      <c r="F53" s="7" t="s">
        <v>22</v>
      </c>
      <c r="G53" s="7" t="s">
        <v>22</v>
      </c>
      <c r="H53" s="7" t="s">
        <v>22</v>
      </c>
    </row>
    <row r="54" spans="1:8" x14ac:dyDescent="0.3">
      <c r="A54" s="5" t="s">
        <v>62</v>
      </c>
      <c r="B54" s="5" t="s">
        <v>48</v>
      </c>
      <c r="C54" s="5" t="s">
        <v>49</v>
      </c>
      <c r="D54" s="8" t="s">
        <v>22</v>
      </c>
      <c r="E54" s="8" t="s">
        <v>22</v>
      </c>
      <c r="F54" s="8" t="s">
        <v>22</v>
      </c>
      <c r="G54" s="8" t="s">
        <v>22</v>
      </c>
      <c r="H54" s="8" t="s">
        <v>22</v>
      </c>
    </row>
    <row r="55" spans="1:8" x14ac:dyDescent="0.3">
      <c r="A55" s="5" t="s">
        <v>62</v>
      </c>
      <c r="B55" s="5" t="s">
        <v>50</v>
      </c>
      <c r="C55" s="5" t="s">
        <v>51</v>
      </c>
      <c r="D55" s="7" t="s">
        <v>22</v>
      </c>
      <c r="E55" s="7" t="s">
        <v>22</v>
      </c>
      <c r="F55" s="7" t="s">
        <v>22</v>
      </c>
      <c r="G55" s="7" t="s">
        <v>22</v>
      </c>
      <c r="H55" s="7" t="s">
        <v>22</v>
      </c>
    </row>
    <row r="56" spans="1:8" x14ac:dyDescent="0.3">
      <c r="A56" s="5" t="s">
        <v>62</v>
      </c>
      <c r="B56" s="5" t="s">
        <v>52</v>
      </c>
      <c r="C56" s="5" t="s">
        <v>53</v>
      </c>
      <c r="D56" s="8" t="s">
        <v>22</v>
      </c>
      <c r="E56" s="8" t="s">
        <v>22</v>
      </c>
      <c r="F56" s="8" t="s">
        <v>22</v>
      </c>
      <c r="G56" s="8" t="s">
        <v>22</v>
      </c>
      <c r="H56" s="8" t="s">
        <v>22</v>
      </c>
    </row>
    <row r="57" spans="1:8" x14ac:dyDescent="0.3">
      <c r="A57" s="5" t="s">
        <v>62</v>
      </c>
      <c r="B57" s="5" t="s">
        <v>54</v>
      </c>
      <c r="C57" s="5" t="s">
        <v>55</v>
      </c>
      <c r="D57" s="7" t="s">
        <v>22</v>
      </c>
      <c r="E57" s="7" t="s">
        <v>22</v>
      </c>
      <c r="F57" s="7" t="s">
        <v>22</v>
      </c>
      <c r="G57" s="7" t="s">
        <v>22</v>
      </c>
      <c r="H57" s="7" t="s">
        <v>22</v>
      </c>
    </row>
    <row r="58" spans="1:8" x14ac:dyDescent="0.3">
      <c r="A58" s="5" t="s">
        <v>62</v>
      </c>
      <c r="B58" s="5" t="s">
        <v>56</v>
      </c>
      <c r="C58" s="5" t="s">
        <v>57</v>
      </c>
      <c r="D58" s="8" t="s">
        <v>22</v>
      </c>
      <c r="E58" s="8" t="s">
        <v>22</v>
      </c>
      <c r="F58" s="8" t="s">
        <v>22</v>
      </c>
      <c r="G58" s="8" t="s">
        <v>22</v>
      </c>
      <c r="H58" s="8" t="s">
        <v>22</v>
      </c>
    </row>
    <row r="59" spans="1:8" x14ac:dyDescent="0.3">
      <c r="A59" s="5" t="s">
        <v>63</v>
      </c>
      <c r="B59" s="5" t="s">
        <v>34</v>
      </c>
      <c r="C59" s="5" t="s">
        <v>35</v>
      </c>
      <c r="D59" s="7" t="s">
        <v>22</v>
      </c>
      <c r="E59" s="7" t="s">
        <v>22</v>
      </c>
      <c r="F59" s="7" t="s">
        <v>22</v>
      </c>
      <c r="G59" s="7" t="s">
        <v>22</v>
      </c>
      <c r="H59" s="7" t="s">
        <v>22</v>
      </c>
    </row>
    <row r="60" spans="1:8" x14ac:dyDescent="0.3">
      <c r="A60" s="5" t="s">
        <v>63</v>
      </c>
      <c r="B60" s="5" t="s">
        <v>36</v>
      </c>
      <c r="C60" s="5" t="s">
        <v>37</v>
      </c>
      <c r="D60" s="8" t="s">
        <v>22</v>
      </c>
      <c r="E60" s="8" t="s">
        <v>22</v>
      </c>
      <c r="F60" s="8" t="s">
        <v>22</v>
      </c>
      <c r="G60" s="8" t="s">
        <v>22</v>
      </c>
      <c r="H60" s="8" t="s">
        <v>22</v>
      </c>
    </row>
    <row r="61" spans="1:8" x14ac:dyDescent="0.3">
      <c r="A61" s="5" t="s">
        <v>63</v>
      </c>
      <c r="B61" s="5" t="s">
        <v>38</v>
      </c>
      <c r="C61" s="5" t="s">
        <v>39</v>
      </c>
      <c r="D61" s="7" t="s">
        <v>22</v>
      </c>
      <c r="E61" s="7" t="s">
        <v>22</v>
      </c>
      <c r="F61" s="7" t="s">
        <v>22</v>
      </c>
      <c r="G61" s="7" t="s">
        <v>22</v>
      </c>
      <c r="H61" s="7" t="s">
        <v>22</v>
      </c>
    </row>
    <row r="62" spans="1:8" x14ac:dyDescent="0.3">
      <c r="A62" s="5" t="s">
        <v>63</v>
      </c>
      <c r="B62" s="5" t="s">
        <v>40</v>
      </c>
      <c r="C62" s="5" t="s">
        <v>41</v>
      </c>
      <c r="D62" s="8" t="s">
        <v>22</v>
      </c>
      <c r="E62" s="8" t="s">
        <v>22</v>
      </c>
      <c r="F62" s="8" t="s">
        <v>22</v>
      </c>
      <c r="G62" s="8" t="s">
        <v>22</v>
      </c>
      <c r="H62" s="8" t="s">
        <v>22</v>
      </c>
    </row>
    <row r="63" spans="1:8" x14ac:dyDescent="0.3">
      <c r="A63" s="5" t="s">
        <v>63</v>
      </c>
      <c r="B63" s="5" t="s">
        <v>42</v>
      </c>
      <c r="C63" s="5" t="s">
        <v>43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</row>
    <row r="64" spans="1:8" x14ac:dyDescent="0.3">
      <c r="A64" s="5" t="s">
        <v>63</v>
      </c>
      <c r="B64" s="5" t="s">
        <v>44</v>
      </c>
      <c r="C64" s="5" t="s">
        <v>45</v>
      </c>
      <c r="D64" s="8" t="s">
        <v>22</v>
      </c>
      <c r="E64" s="8" t="s">
        <v>22</v>
      </c>
      <c r="F64" s="8" t="s">
        <v>22</v>
      </c>
      <c r="G64" s="8" t="s">
        <v>22</v>
      </c>
      <c r="H64" s="8" t="s">
        <v>22</v>
      </c>
    </row>
    <row r="65" spans="1:8" x14ac:dyDescent="0.3">
      <c r="A65" s="5" t="s">
        <v>63</v>
      </c>
      <c r="B65" s="5" t="s">
        <v>46</v>
      </c>
      <c r="C65" s="5" t="s">
        <v>47</v>
      </c>
      <c r="D65" s="7" t="s">
        <v>22</v>
      </c>
      <c r="E65" s="7" t="s">
        <v>22</v>
      </c>
      <c r="F65" s="7" t="s">
        <v>22</v>
      </c>
      <c r="G65" s="7" t="s">
        <v>22</v>
      </c>
      <c r="H65" s="7" t="s">
        <v>22</v>
      </c>
    </row>
    <row r="66" spans="1:8" x14ac:dyDescent="0.3">
      <c r="A66" s="5" t="s">
        <v>63</v>
      </c>
      <c r="B66" s="5" t="s">
        <v>48</v>
      </c>
      <c r="C66" s="5" t="s">
        <v>49</v>
      </c>
      <c r="D66" s="8" t="s">
        <v>22</v>
      </c>
      <c r="E66" s="8" t="s">
        <v>22</v>
      </c>
      <c r="F66" s="8" t="s">
        <v>22</v>
      </c>
      <c r="G66" s="8" t="s">
        <v>22</v>
      </c>
      <c r="H66" s="8" t="s">
        <v>22</v>
      </c>
    </row>
    <row r="67" spans="1:8" x14ac:dyDescent="0.3">
      <c r="A67" s="5" t="s">
        <v>63</v>
      </c>
      <c r="B67" s="5" t="s">
        <v>50</v>
      </c>
      <c r="C67" s="5" t="s">
        <v>51</v>
      </c>
      <c r="D67" s="7" t="s">
        <v>22</v>
      </c>
      <c r="E67" s="7" t="s">
        <v>22</v>
      </c>
      <c r="F67" s="7" t="s">
        <v>22</v>
      </c>
      <c r="G67" s="7" t="s">
        <v>22</v>
      </c>
      <c r="H67" s="7" t="s">
        <v>22</v>
      </c>
    </row>
    <row r="68" spans="1:8" x14ac:dyDescent="0.3">
      <c r="A68" s="5" t="s">
        <v>63</v>
      </c>
      <c r="B68" s="5" t="s">
        <v>52</v>
      </c>
      <c r="C68" s="5" t="s">
        <v>53</v>
      </c>
      <c r="D68" s="8" t="s">
        <v>22</v>
      </c>
      <c r="E68" s="8" t="s">
        <v>22</v>
      </c>
      <c r="F68" s="8" t="s">
        <v>22</v>
      </c>
      <c r="G68" s="8" t="s">
        <v>22</v>
      </c>
      <c r="H68" s="8" t="s">
        <v>22</v>
      </c>
    </row>
    <row r="69" spans="1:8" x14ac:dyDescent="0.3">
      <c r="A69" s="5" t="s">
        <v>63</v>
      </c>
      <c r="B69" s="5" t="s">
        <v>54</v>
      </c>
      <c r="C69" s="5" t="s">
        <v>55</v>
      </c>
      <c r="D69" s="7" t="s">
        <v>22</v>
      </c>
      <c r="E69" s="7" t="s">
        <v>22</v>
      </c>
      <c r="F69" s="7" t="s">
        <v>22</v>
      </c>
      <c r="G69" s="7" t="s">
        <v>22</v>
      </c>
      <c r="H69" s="7" t="s">
        <v>22</v>
      </c>
    </row>
    <row r="70" spans="1:8" x14ac:dyDescent="0.3">
      <c r="A70" s="5" t="s">
        <v>63</v>
      </c>
      <c r="B70" s="5" t="s">
        <v>56</v>
      </c>
      <c r="C70" s="5" t="s">
        <v>57</v>
      </c>
      <c r="D70" s="8" t="s">
        <v>22</v>
      </c>
      <c r="E70" s="8" t="s">
        <v>22</v>
      </c>
      <c r="F70" s="8" t="s">
        <v>22</v>
      </c>
      <c r="G70" s="8" t="s">
        <v>22</v>
      </c>
      <c r="H70" s="8" t="s">
        <v>22</v>
      </c>
    </row>
    <row r="71" spans="1:8" x14ac:dyDescent="0.3">
      <c r="A71" s="5" t="s">
        <v>64</v>
      </c>
      <c r="B71" s="5" t="s">
        <v>34</v>
      </c>
      <c r="C71" s="5" t="s">
        <v>35</v>
      </c>
      <c r="D71" s="7" t="s">
        <v>22</v>
      </c>
      <c r="E71" s="7" t="s">
        <v>22</v>
      </c>
      <c r="F71" s="7" t="s">
        <v>22</v>
      </c>
      <c r="G71" s="7" t="s">
        <v>22</v>
      </c>
      <c r="H71" s="7" t="s">
        <v>22</v>
      </c>
    </row>
    <row r="72" spans="1:8" x14ac:dyDescent="0.3">
      <c r="A72" s="5" t="s">
        <v>64</v>
      </c>
      <c r="B72" s="5" t="s">
        <v>36</v>
      </c>
      <c r="C72" s="5" t="s">
        <v>37</v>
      </c>
      <c r="D72" s="8" t="s">
        <v>22</v>
      </c>
      <c r="E72" s="8" t="s">
        <v>22</v>
      </c>
      <c r="F72" s="8" t="s">
        <v>22</v>
      </c>
      <c r="G72" s="8" t="s">
        <v>22</v>
      </c>
      <c r="H72" s="8" t="s">
        <v>22</v>
      </c>
    </row>
    <row r="73" spans="1:8" x14ac:dyDescent="0.3">
      <c r="A73" s="5" t="s">
        <v>64</v>
      </c>
      <c r="B73" s="5" t="s">
        <v>38</v>
      </c>
      <c r="C73" s="5" t="s">
        <v>39</v>
      </c>
      <c r="D73" s="7" t="s">
        <v>22</v>
      </c>
      <c r="E73" s="7" t="s">
        <v>22</v>
      </c>
      <c r="F73" s="7" t="s">
        <v>22</v>
      </c>
      <c r="G73" s="7" t="s">
        <v>22</v>
      </c>
      <c r="H73" s="7" t="s">
        <v>22</v>
      </c>
    </row>
    <row r="74" spans="1:8" x14ac:dyDescent="0.3">
      <c r="A74" s="5" t="s">
        <v>64</v>
      </c>
      <c r="B74" s="5" t="s">
        <v>40</v>
      </c>
      <c r="C74" s="5" t="s">
        <v>41</v>
      </c>
      <c r="D74" s="8" t="s">
        <v>22</v>
      </c>
      <c r="E74" s="8" t="s">
        <v>22</v>
      </c>
      <c r="F74" s="8" t="s">
        <v>22</v>
      </c>
      <c r="G74" s="8" t="s">
        <v>22</v>
      </c>
      <c r="H74" s="8" t="s">
        <v>22</v>
      </c>
    </row>
    <row r="75" spans="1:8" x14ac:dyDescent="0.3">
      <c r="A75" s="5" t="s">
        <v>64</v>
      </c>
      <c r="B75" s="5" t="s">
        <v>42</v>
      </c>
      <c r="C75" s="5" t="s">
        <v>43</v>
      </c>
      <c r="D75" s="7" t="s">
        <v>22</v>
      </c>
      <c r="E75" s="7" t="s">
        <v>22</v>
      </c>
      <c r="F75" s="7" t="s">
        <v>22</v>
      </c>
      <c r="G75" s="7" t="s">
        <v>22</v>
      </c>
      <c r="H75" s="7" t="s">
        <v>22</v>
      </c>
    </row>
    <row r="76" spans="1:8" x14ac:dyDescent="0.3">
      <c r="A76" s="5" t="s">
        <v>64</v>
      </c>
      <c r="B76" s="5" t="s">
        <v>44</v>
      </c>
      <c r="C76" s="5" t="s">
        <v>45</v>
      </c>
      <c r="D76" s="8" t="s">
        <v>22</v>
      </c>
      <c r="E76" s="8" t="s">
        <v>22</v>
      </c>
      <c r="F76" s="8" t="s">
        <v>22</v>
      </c>
      <c r="G76" s="8" t="s">
        <v>22</v>
      </c>
      <c r="H76" s="8" t="s">
        <v>22</v>
      </c>
    </row>
    <row r="77" spans="1:8" x14ac:dyDescent="0.3">
      <c r="A77" s="5" t="s">
        <v>64</v>
      </c>
      <c r="B77" s="5" t="s">
        <v>46</v>
      </c>
      <c r="C77" s="5" t="s">
        <v>47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</row>
    <row r="78" spans="1:8" x14ac:dyDescent="0.3">
      <c r="A78" s="5" t="s">
        <v>64</v>
      </c>
      <c r="B78" s="5" t="s">
        <v>48</v>
      </c>
      <c r="C78" s="5" t="s">
        <v>49</v>
      </c>
      <c r="D78" s="8" t="s">
        <v>22</v>
      </c>
      <c r="E78" s="8" t="s">
        <v>22</v>
      </c>
      <c r="F78" s="8" t="s">
        <v>22</v>
      </c>
      <c r="G78" s="8" t="s">
        <v>22</v>
      </c>
      <c r="H78" s="8" t="s">
        <v>22</v>
      </c>
    </row>
    <row r="79" spans="1:8" x14ac:dyDescent="0.3">
      <c r="A79" s="5" t="s">
        <v>64</v>
      </c>
      <c r="B79" s="5" t="s">
        <v>50</v>
      </c>
      <c r="C79" s="5" t="s">
        <v>51</v>
      </c>
      <c r="D79" s="7" t="s">
        <v>22</v>
      </c>
      <c r="E79" s="7" t="s">
        <v>22</v>
      </c>
      <c r="F79" s="7" t="s">
        <v>22</v>
      </c>
      <c r="G79" s="7" t="s">
        <v>22</v>
      </c>
      <c r="H79" s="7" t="s">
        <v>22</v>
      </c>
    </row>
    <row r="80" spans="1:8" x14ac:dyDescent="0.3">
      <c r="A80" s="5" t="s">
        <v>64</v>
      </c>
      <c r="B80" s="5" t="s">
        <v>52</v>
      </c>
      <c r="C80" s="5" t="s">
        <v>53</v>
      </c>
      <c r="D80" s="8" t="s">
        <v>22</v>
      </c>
      <c r="E80" s="8" t="s">
        <v>22</v>
      </c>
      <c r="F80" s="8" t="s">
        <v>22</v>
      </c>
      <c r="G80" s="8" t="s">
        <v>22</v>
      </c>
      <c r="H80" s="8" t="s">
        <v>22</v>
      </c>
    </row>
    <row r="81" spans="1:8" x14ac:dyDescent="0.3">
      <c r="A81" s="5" t="s">
        <v>64</v>
      </c>
      <c r="B81" s="5" t="s">
        <v>54</v>
      </c>
      <c r="C81" s="5" t="s">
        <v>55</v>
      </c>
      <c r="D81" s="7" t="s">
        <v>22</v>
      </c>
      <c r="E81" s="7" t="s">
        <v>22</v>
      </c>
      <c r="F81" s="7" t="s">
        <v>22</v>
      </c>
      <c r="G81" s="7" t="s">
        <v>22</v>
      </c>
      <c r="H81" s="7" t="s">
        <v>22</v>
      </c>
    </row>
    <row r="82" spans="1:8" x14ac:dyDescent="0.3">
      <c r="A82" s="5" t="s">
        <v>64</v>
      </c>
      <c r="B82" s="5" t="s">
        <v>56</v>
      </c>
      <c r="C82" s="5" t="s">
        <v>57</v>
      </c>
      <c r="D82" s="8" t="s">
        <v>22</v>
      </c>
      <c r="E82" s="8" t="s">
        <v>22</v>
      </c>
      <c r="F82" s="8" t="s">
        <v>22</v>
      </c>
      <c r="G82" s="8" t="s">
        <v>22</v>
      </c>
      <c r="H82" s="8" t="s">
        <v>22</v>
      </c>
    </row>
    <row r="83" spans="1:8" x14ac:dyDescent="0.3">
      <c r="A83" s="5" t="s">
        <v>65</v>
      </c>
      <c r="B83" s="5" t="s">
        <v>34</v>
      </c>
      <c r="C83" s="5" t="s">
        <v>35</v>
      </c>
      <c r="D83" s="7" t="s">
        <v>22</v>
      </c>
      <c r="E83" s="7" t="s">
        <v>22</v>
      </c>
      <c r="F83" s="7" t="s">
        <v>22</v>
      </c>
      <c r="G83" s="7" t="s">
        <v>22</v>
      </c>
      <c r="H83" s="7" t="s">
        <v>22</v>
      </c>
    </row>
    <row r="84" spans="1:8" x14ac:dyDescent="0.3">
      <c r="A84" s="5" t="s">
        <v>65</v>
      </c>
      <c r="B84" s="5" t="s">
        <v>36</v>
      </c>
      <c r="C84" s="5" t="s">
        <v>37</v>
      </c>
      <c r="D84" s="8" t="s">
        <v>22</v>
      </c>
      <c r="E84" s="8" t="s">
        <v>22</v>
      </c>
      <c r="F84" s="8" t="s">
        <v>22</v>
      </c>
      <c r="G84" s="8" t="s">
        <v>22</v>
      </c>
      <c r="H84" s="8" t="s">
        <v>22</v>
      </c>
    </row>
    <row r="85" spans="1:8" x14ac:dyDescent="0.3">
      <c r="A85" s="5" t="s">
        <v>65</v>
      </c>
      <c r="B85" s="5" t="s">
        <v>38</v>
      </c>
      <c r="C85" s="5" t="s">
        <v>39</v>
      </c>
      <c r="D85" s="7" t="s">
        <v>22</v>
      </c>
      <c r="E85" s="7" t="s">
        <v>22</v>
      </c>
      <c r="F85" s="7" t="s">
        <v>22</v>
      </c>
      <c r="G85" s="7" t="s">
        <v>22</v>
      </c>
      <c r="H85" s="7" t="s">
        <v>22</v>
      </c>
    </row>
    <row r="86" spans="1:8" x14ac:dyDescent="0.3">
      <c r="A86" s="5" t="s">
        <v>65</v>
      </c>
      <c r="B86" s="5" t="s">
        <v>40</v>
      </c>
      <c r="C86" s="5" t="s">
        <v>41</v>
      </c>
      <c r="D86" s="8" t="s">
        <v>22</v>
      </c>
      <c r="E86" s="8" t="s">
        <v>22</v>
      </c>
      <c r="F86" s="8" t="s">
        <v>22</v>
      </c>
      <c r="G86" s="8" t="s">
        <v>22</v>
      </c>
      <c r="H86" s="8" t="s">
        <v>22</v>
      </c>
    </row>
    <row r="87" spans="1:8" x14ac:dyDescent="0.3">
      <c r="A87" s="5" t="s">
        <v>65</v>
      </c>
      <c r="B87" s="5" t="s">
        <v>42</v>
      </c>
      <c r="C87" s="5" t="s">
        <v>43</v>
      </c>
      <c r="D87" s="7" t="s">
        <v>22</v>
      </c>
      <c r="E87" s="7" t="s">
        <v>22</v>
      </c>
      <c r="F87" s="7" t="s">
        <v>22</v>
      </c>
      <c r="G87" s="7" t="s">
        <v>22</v>
      </c>
      <c r="H87" s="7" t="s">
        <v>22</v>
      </c>
    </row>
    <row r="88" spans="1:8" x14ac:dyDescent="0.3">
      <c r="A88" s="5" t="s">
        <v>65</v>
      </c>
      <c r="B88" s="5" t="s">
        <v>44</v>
      </c>
      <c r="C88" s="5" t="s">
        <v>45</v>
      </c>
      <c r="D88" s="8" t="s">
        <v>22</v>
      </c>
      <c r="E88" s="8" t="s">
        <v>22</v>
      </c>
      <c r="F88" s="8" t="s">
        <v>22</v>
      </c>
      <c r="G88" s="8" t="s">
        <v>22</v>
      </c>
      <c r="H88" s="8" t="s">
        <v>22</v>
      </c>
    </row>
    <row r="89" spans="1:8" x14ac:dyDescent="0.3">
      <c r="A89" s="5" t="s">
        <v>65</v>
      </c>
      <c r="B89" s="5" t="s">
        <v>46</v>
      </c>
      <c r="C89" s="5" t="s">
        <v>47</v>
      </c>
      <c r="D89" s="7" t="s">
        <v>22</v>
      </c>
      <c r="E89" s="7" t="s">
        <v>22</v>
      </c>
      <c r="F89" s="7" t="s">
        <v>22</v>
      </c>
      <c r="G89" s="7" t="s">
        <v>22</v>
      </c>
      <c r="H89" s="7" t="s">
        <v>22</v>
      </c>
    </row>
    <row r="90" spans="1:8" x14ac:dyDescent="0.3">
      <c r="A90" s="5" t="s">
        <v>65</v>
      </c>
      <c r="B90" s="5" t="s">
        <v>48</v>
      </c>
      <c r="C90" s="5" t="s">
        <v>49</v>
      </c>
      <c r="D90" s="8" t="s">
        <v>22</v>
      </c>
      <c r="E90" s="8" t="s">
        <v>22</v>
      </c>
      <c r="F90" s="8" t="s">
        <v>22</v>
      </c>
      <c r="G90" s="8" t="s">
        <v>22</v>
      </c>
      <c r="H90" s="8" t="s">
        <v>22</v>
      </c>
    </row>
    <row r="91" spans="1:8" x14ac:dyDescent="0.3">
      <c r="A91" s="5" t="s">
        <v>65</v>
      </c>
      <c r="B91" s="5" t="s">
        <v>50</v>
      </c>
      <c r="C91" s="5" t="s">
        <v>51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</row>
    <row r="92" spans="1:8" x14ac:dyDescent="0.3">
      <c r="A92" s="5" t="s">
        <v>65</v>
      </c>
      <c r="B92" s="5" t="s">
        <v>52</v>
      </c>
      <c r="C92" s="5" t="s">
        <v>53</v>
      </c>
      <c r="D92" s="8" t="s">
        <v>22</v>
      </c>
      <c r="E92" s="8" t="s">
        <v>22</v>
      </c>
      <c r="F92" s="8" t="s">
        <v>22</v>
      </c>
      <c r="G92" s="8" t="s">
        <v>22</v>
      </c>
      <c r="H92" s="8" t="s">
        <v>22</v>
      </c>
    </row>
    <row r="93" spans="1:8" x14ac:dyDescent="0.3">
      <c r="A93" s="5" t="s">
        <v>65</v>
      </c>
      <c r="B93" s="5" t="s">
        <v>54</v>
      </c>
      <c r="C93" s="5" t="s">
        <v>55</v>
      </c>
      <c r="D93" s="7" t="s">
        <v>22</v>
      </c>
      <c r="E93" s="7" t="s">
        <v>22</v>
      </c>
      <c r="F93" s="7" t="s">
        <v>22</v>
      </c>
      <c r="G93" s="7" t="s">
        <v>22</v>
      </c>
      <c r="H93" s="7" t="s">
        <v>22</v>
      </c>
    </row>
    <row r="94" spans="1:8" x14ac:dyDescent="0.3">
      <c r="A94" s="5" t="s">
        <v>65</v>
      </c>
      <c r="B94" s="5" t="s">
        <v>56</v>
      </c>
      <c r="C94" s="5" t="s">
        <v>57</v>
      </c>
      <c r="D94" s="8" t="s">
        <v>22</v>
      </c>
      <c r="E94" s="8" t="s">
        <v>22</v>
      </c>
      <c r="F94" s="8" t="s">
        <v>22</v>
      </c>
      <c r="G94" s="8" t="s">
        <v>22</v>
      </c>
      <c r="H94" s="8" t="s">
        <v>22</v>
      </c>
    </row>
    <row r="95" spans="1:8" x14ac:dyDescent="0.3">
      <c r="A95" s="5" t="s">
        <v>66</v>
      </c>
      <c r="B95" s="5" t="s">
        <v>34</v>
      </c>
      <c r="C95" s="5" t="s">
        <v>35</v>
      </c>
      <c r="D95" s="7" t="s">
        <v>22</v>
      </c>
      <c r="E95" s="7" t="s">
        <v>22</v>
      </c>
      <c r="F95" s="7" t="s">
        <v>22</v>
      </c>
      <c r="G95" s="7" t="s">
        <v>22</v>
      </c>
      <c r="H95" s="7" t="s">
        <v>22</v>
      </c>
    </row>
    <row r="96" spans="1:8" x14ac:dyDescent="0.3">
      <c r="A96" s="5" t="s">
        <v>66</v>
      </c>
      <c r="B96" s="5" t="s">
        <v>36</v>
      </c>
      <c r="C96" s="5" t="s">
        <v>37</v>
      </c>
      <c r="D96" s="8" t="s">
        <v>22</v>
      </c>
      <c r="E96" s="8" t="s">
        <v>22</v>
      </c>
      <c r="F96" s="8" t="s">
        <v>22</v>
      </c>
      <c r="G96" s="8" t="s">
        <v>22</v>
      </c>
      <c r="H96" s="8" t="s">
        <v>22</v>
      </c>
    </row>
    <row r="97" spans="1:8" x14ac:dyDescent="0.3">
      <c r="A97" s="5" t="s">
        <v>66</v>
      </c>
      <c r="B97" s="5" t="s">
        <v>38</v>
      </c>
      <c r="C97" s="5" t="s">
        <v>39</v>
      </c>
      <c r="D97" s="7" t="s">
        <v>22</v>
      </c>
      <c r="E97" s="7" t="s">
        <v>22</v>
      </c>
      <c r="F97" s="7" t="s">
        <v>22</v>
      </c>
      <c r="G97" s="7" t="s">
        <v>22</v>
      </c>
      <c r="H97" s="7" t="s">
        <v>22</v>
      </c>
    </row>
    <row r="98" spans="1:8" x14ac:dyDescent="0.3">
      <c r="A98" s="5" t="s">
        <v>66</v>
      </c>
      <c r="B98" s="5" t="s">
        <v>40</v>
      </c>
      <c r="C98" s="5" t="s">
        <v>41</v>
      </c>
      <c r="D98" s="8" t="s">
        <v>22</v>
      </c>
      <c r="E98" s="8" t="s">
        <v>22</v>
      </c>
      <c r="F98" s="8" t="s">
        <v>22</v>
      </c>
      <c r="G98" s="8" t="s">
        <v>22</v>
      </c>
      <c r="H98" s="8" t="s">
        <v>22</v>
      </c>
    </row>
    <row r="99" spans="1:8" x14ac:dyDescent="0.3">
      <c r="A99" s="5" t="s">
        <v>66</v>
      </c>
      <c r="B99" s="5" t="s">
        <v>42</v>
      </c>
      <c r="C99" s="5" t="s">
        <v>43</v>
      </c>
      <c r="D99" s="7" t="s">
        <v>22</v>
      </c>
      <c r="E99" s="7" t="s">
        <v>22</v>
      </c>
      <c r="F99" s="7" t="s">
        <v>22</v>
      </c>
      <c r="G99" s="7" t="s">
        <v>22</v>
      </c>
      <c r="H99" s="7" t="s">
        <v>22</v>
      </c>
    </row>
    <row r="100" spans="1:8" x14ac:dyDescent="0.3">
      <c r="A100" s="5" t="s">
        <v>66</v>
      </c>
      <c r="B100" s="5" t="s">
        <v>44</v>
      </c>
      <c r="C100" s="5" t="s">
        <v>45</v>
      </c>
      <c r="D100" s="8" t="s">
        <v>22</v>
      </c>
      <c r="E100" s="8" t="s">
        <v>22</v>
      </c>
      <c r="F100" s="8" t="s">
        <v>22</v>
      </c>
      <c r="G100" s="8" t="s">
        <v>22</v>
      </c>
      <c r="H100" s="8" t="s">
        <v>22</v>
      </c>
    </row>
    <row r="101" spans="1:8" x14ac:dyDescent="0.3">
      <c r="A101" s="5" t="s">
        <v>66</v>
      </c>
      <c r="B101" s="5" t="s">
        <v>46</v>
      </c>
      <c r="C101" s="5" t="s">
        <v>47</v>
      </c>
      <c r="D101" s="7" t="s">
        <v>22</v>
      </c>
      <c r="E101" s="7" t="s">
        <v>22</v>
      </c>
      <c r="F101" s="7" t="s">
        <v>22</v>
      </c>
      <c r="G101" s="7" t="s">
        <v>22</v>
      </c>
      <c r="H101" s="7" t="s">
        <v>22</v>
      </c>
    </row>
    <row r="102" spans="1:8" x14ac:dyDescent="0.3">
      <c r="A102" s="5" t="s">
        <v>66</v>
      </c>
      <c r="B102" s="5" t="s">
        <v>48</v>
      </c>
      <c r="C102" s="5" t="s">
        <v>49</v>
      </c>
      <c r="D102" s="8" t="s">
        <v>22</v>
      </c>
      <c r="E102" s="8" t="s">
        <v>22</v>
      </c>
      <c r="F102" s="8" t="s">
        <v>22</v>
      </c>
      <c r="G102" s="8" t="s">
        <v>22</v>
      </c>
      <c r="H102" s="8" t="s">
        <v>22</v>
      </c>
    </row>
    <row r="103" spans="1:8" x14ac:dyDescent="0.3">
      <c r="A103" s="5" t="s">
        <v>66</v>
      </c>
      <c r="B103" s="5" t="s">
        <v>50</v>
      </c>
      <c r="C103" s="5" t="s">
        <v>51</v>
      </c>
      <c r="D103" s="7" t="s">
        <v>22</v>
      </c>
      <c r="E103" s="7" t="s">
        <v>22</v>
      </c>
      <c r="F103" s="7" t="s">
        <v>22</v>
      </c>
      <c r="G103" s="7" t="s">
        <v>22</v>
      </c>
      <c r="H103" s="7" t="s">
        <v>22</v>
      </c>
    </row>
    <row r="104" spans="1:8" x14ac:dyDescent="0.3">
      <c r="A104" s="5" t="s">
        <v>66</v>
      </c>
      <c r="B104" s="5" t="s">
        <v>52</v>
      </c>
      <c r="C104" s="5" t="s">
        <v>53</v>
      </c>
      <c r="D104" s="8" t="s">
        <v>22</v>
      </c>
      <c r="E104" s="8" t="s">
        <v>22</v>
      </c>
      <c r="F104" s="8" t="s">
        <v>22</v>
      </c>
      <c r="G104" s="8" t="s">
        <v>22</v>
      </c>
      <c r="H104" s="8" t="s">
        <v>22</v>
      </c>
    </row>
    <row r="105" spans="1:8" x14ac:dyDescent="0.3">
      <c r="A105" s="5" t="s">
        <v>66</v>
      </c>
      <c r="B105" s="5" t="s">
        <v>54</v>
      </c>
      <c r="C105" s="5" t="s">
        <v>55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</row>
    <row r="106" spans="1:8" x14ac:dyDescent="0.3">
      <c r="A106" s="5" t="s">
        <v>66</v>
      </c>
      <c r="B106" s="5" t="s">
        <v>56</v>
      </c>
      <c r="C106" s="5" t="s">
        <v>57</v>
      </c>
      <c r="D106" s="8" t="s">
        <v>22</v>
      </c>
      <c r="E106" s="8" t="s">
        <v>22</v>
      </c>
      <c r="F106" s="8" t="s">
        <v>22</v>
      </c>
      <c r="G106" s="8" t="s">
        <v>22</v>
      </c>
      <c r="H106" s="8" t="s">
        <v>22</v>
      </c>
    </row>
    <row r="107" spans="1:8" x14ac:dyDescent="0.3">
      <c r="A107" s="5" t="s">
        <v>67</v>
      </c>
      <c r="B107" s="5" t="s">
        <v>34</v>
      </c>
      <c r="C107" s="5" t="s">
        <v>35</v>
      </c>
      <c r="D107" s="7" t="s">
        <v>22</v>
      </c>
      <c r="E107" s="7" t="s">
        <v>22</v>
      </c>
      <c r="F107" s="7" t="s">
        <v>22</v>
      </c>
      <c r="G107" s="7" t="s">
        <v>22</v>
      </c>
      <c r="H107" s="7" t="s">
        <v>22</v>
      </c>
    </row>
    <row r="108" spans="1:8" x14ac:dyDescent="0.3">
      <c r="A108" s="5" t="s">
        <v>67</v>
      </c>
      <c r="B108" s="5" t="s">
        <v>36</v>
      </c>
      <c r="C108" s="5" t="s">
        <v>37</v>
      </c>
      <c r="D108" s="8" t="s">
        <v>22</v>
      </c>
      <c r="E108" s="8" t="s">
        <v>22</v>
      </c>
      <c r="F108" s="8" t="s">
        <v>22</v>
      </c>
      <c r="G108" s="8" t="s">
        <v>22</v>
      </c>
      <c r="H108" s="8" t="s">
        <v>22</v>
      </c>
    </row>
    <row r="109" spans="1:8" x14ac:dyDescent="0.3">
      <c r="A109" s="5" t="s">
        <v>67</v>
      </c>
      <c r="B109" s="5" t="s">
        <v>38</v>
      </c>
      <c r="C109" s="5" t="s">
        <v>39</v>
      </c>
      <c r="D109" s="7" t="s">
        <v>22</v>
      </c>
      <c r="E109" s="7" t="s">
        <v>22</v>
      </c>
      <c r="F109" s="7" t="s">
        <v>22</v>
      </c>
      <c r="G109" s="7" t="s">
        <v>22</v>
      </c>
      <c r="H109" s="7" t="s">
        <v>22</v>
      </c>
    </row>
    <row r="110" spans="1:8" x14ac:dyDescent="0.3">
      <c r="A110" s="5" t="s">
        <v>67</v>
      </c>
      <c r="B110" s="5" t="s">
        <v>40</v>
      </c>
      <c r="C110" s="5" t="s">
        <v>41</v>
      </c>
      <c r="D110" s="8" t="s">
        <v>22</v>
      </c>
      <c r="E110" s="8" t="s">
        <v>22</v>
      </c>
      <c r="F110" s="8" t="s">
        <v>22</v>
      </c>
      <c r="G110" s="8" t="s">
        <v>22</v>
      </c>
      <c r="H110" s="8" t="s">
        <v>22</v>
      </c>
    </row>
    <row r="111" spans="1:8" x14ac:dyDescent="0.3">
      <c r="A111" s="5" t="s">
        <v>67</v>
      </c>
      <c r="B111" s="5" t="s">
        <v>42</v>
      </c>
      <c r="C111" s="5" t="s">
        <v>43</v>
      </c>
      <c r="D111" s="7" t="s">
        <v>22</v>
      </c>
      <c r="E111" s="7" t="s">
        <v>22</v>
      </c>
      <c r="F111" s="7" t="s">
        <v>22</v>
      </c>
      <c r="G111" s="7" t="s">
        <v>22</v>
      </c>
      <c r="H111" s="7" t="s">
        <v>22</v>
      </c>
    </row>
    <row r="112" spans="1:8" x14ac:dyDescent="0.3">
      <c r="A112" s="5" t="s">
        <v>67</v>
      </c>
      <c r="B112" s="5" t="s">
        <v>44</v>
      </c>
      <c r="C112" s="5" t="s">
        <v>45</v>
      </c>
      <c r="D112" s="8" t="s">
        <v>22</v>
      </c>
      <c r="E112" s="8" t="s">
        <v>22</v>
      </c>
      <c r="F112" s="8" t="s">
        <v>22</v>
      </c>
      <c r="G112" s="8" t="s">
        <v>22</v>
      </c>
      <c r="H112" s="8" t="s">
        <v>22</v>
      </c>
    </row>
    <row r="113" spans="1:8" x14ac:dyDescent="0.3">
      <c r="A113" s="5" t="s">
        <v>67</v>
      </c>
      <c r="B113" s="5" t="s">
        <v>46</v>
      </c>
      <c r="C113" s="5" t="s">
        <v>47</v>
      </c>
      <c r="D113" s="7" t="s">
        <v>22</v>
      </c>
      <c r="E113" s="7" t="s">
        <v>22</v>
      </c>
      <c r="F113" s="7" t="s">
        <v>22</v>
      </c>
      <c r="G113" s="7" t="s">
        <v>22</v>
      </c>
      <c r="H113" s="7" t="s">
        <v>22</v>
      </c>
    </row>
    <row r="114" spans="1:8" x14ac:dyDescent="0.3">
      <c r="A114" s="5" t="s">
        <v>67</v>
      </c>
      <c r="B114" s="5" t="s">
        <v>48</v>
      </c>
      <c r="C114" s="5" t="s">
        <v>49</v>
      </c>
      <c r="D114" s="8" t="s">
        <v>22</v>
      </c>
      <c r="E114" s="8" t="s">
        <v>22</v>
      </c>
      <c r="F114" s="8" t="s">
        <v>22</v>
      </c>
      <c r="G114" s="8" t="s">
        <v>22</v>
      </c>
      <c r="H114" s="8" t="s">
        <v>22</v>
      </c>
    </row>
    <row r="115" spans="1:8" x14ac:dyDescent="0.3">
      <c r="A115" s="5" t="s">
        <v>67</v>
      </c>
      <c r="B115" s="5" t="s">
        <v>50</v>
      </c>
      <c r="C115" s="5" t="s">
        <v>51</v>
      </c>
      <c r="D115" s="7" t="s">
        <v>22</v>
      </c>
      <c r="E115" s="7" t="s">
        <v>22</v>
      </c>
      <c r="F115" s="7" t="s">
        <v>22</v>
      </c>
      <c r="G115" s="7" t="s">
        <v>22</v>
      </c>
      <c r="H115" s="7" t="s">
        <v>22</v>
      </c>
    </row>
    <row r="116" spans="1:8" x14ac:dyDescent="0.3">
      <c r="A116" s="5" t="s">
        <v>67</v>
      </c>
      <c r="B116" s="5" t="s">
        <v>52</v>
      </c>
      <c r="C116" s="5" t="s">
        <v>53</v>
      </c>
      <c r="D116" s="8" t="s">
        <v>22</v>
      </c>
      <c r="E116" s="8" t="s">
        <v>22</v>
      </c>
      <c r="F116" s="8" t="s">
        <v>22</v>
      </c>
      <c r="G116" s="8" t="s">
        <v>22</v>
      </c>
      <c r="H116" s="8" t="s">
        <v>22</v>
      </c>
    </row>
    <row r="117" spans="1:8" x14ac:dyDescent="0.3">
      <c r="A117" s="5" t="s">
        <v>67</v>
      </c>
      <c r="B117" s="5" t="s">
        <v>54</v>
      </c>
      <c r="C117" s="5" t="s">
        <v>55</v>
      </c>
      <c r="D117" s="7" t="s">
        <v>22</v>
      </c>
      <c r="E117" s="7" t="s">
        <v>22</v>
      </c>
      <c r="F117" s="7" t="s">
        <v>22</v>
      </c>
      <c r="G117" s="7" t="s">
        <v>22</v>
      </c>
      <c r="H117" s="7" t="s">
        <v>22</v>
      </c>
    </row>
    <row r="118" spans="1:8" x14ac:dyDescent="0.3">
      <c r="A118" s="5" t="s">
        <v>67</v>
      </c>
      <c r="B118" s="5" t="s">
        <v>56</v>
      </c>
      <c r="C118" s="5" t="s">
        <v>57</v>
      </c>
      <c r="D118" s="8" t="s">
        <v>22</v>
      </c>
      <c r="E118" s="8" t="s">
        <v>22</v>
      </c>
      <c r="F118" s="8" t="s">
        <v>22</v>
      </c>
      <c r="G118" s="8" t="s">
        <v>22</v>
      </c>
      <c r="H118" s="8" t="s">
        <v>22</v>
      </c>
    </row>
    <row r="119" spans="1:8" x14ac:dyDescent="0.3">
      <c r="A119" s="5" t="s">
        <v>68</v>
      </c>
      <c r="B119" s="5" t="s">
        <v>34</v>
      </c>
      <c r="C119" s="5" t="s">
        <v>35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</row>
    <row r="120" spans="1:8" x14ac:dyDescent="0.3">
      <c r="A120" s="5" t="s">
        <v>68</v>
      </c>
      <c r="B120" s="5" t="s">
        <v>36</v>
      </c>
      <c r="C120" s="5" t="s">
        <v>37</v>
      </c>
      <c r="D120" s="8" t="s">
        <v>22</v>
      </c>
      <c r="E120" s="8" t="s">
        <v>22</v>
      </c>
      <c r="F120" s="8" t="s">
        <v>22</v>
      </c>
      <c r="G120" s="8" t="s">
        <v>22</v>
      </c>
      <c r="H120" s="8" t="s">
        <v>22</v>
      </c>
    </row>
    <row r="121" spans="1:8" x14ac:dyDescent="0.3">
      <c r="A121" s="5" t="s">
        <v>68</v>
      </c>
      <c r="B121" s="5" t="s">
        <v>38</v>
      </c>
      <c r="C121" s="5" t="s">
        <v>39</v>
      </c>
      <c r="D121" s="7" t="s">
        <v>22</v>
      </c>
      <c r="E121" s="7" t="s">
        <v>22</v>
      </c>
      <c r="F121" s="7" t="s">
        <v>22</v>
      </c>
      <c r="G121" s="7" t="s">
        <v>22</v>
      </c>
      <c r="H121" s="7" t="s">
        <v>22</v>
      </c>
    </row>
    <row r="122" spans="1:8" x14ac:dyDescent="0.3">
      <c r="A122" s="5" t="s">
        <v>68</v>
      </c>
      <c r="B122" s="5" t="s">
        <v>40</v>
      </c>
      <c r="C122" s="5" t="s">
        <v>41</v>
      </c>
      <c r="D122" s="8" t="s">
        <v>22</v>
      </c>
      <c r="E122" s="8" t="s">
        <v>22</v>
      </c>
      <c r="F122" s="8" t="s">
        <v>22</v>
      </c>
      <c r="G122" s="8" t="s">
        <v>22</v>
      </c>
      <c r="H122" s="8" t="s">
        <v>22</v>
      </c>
    </row>
    <row r="123" spans="1:8" x14ac:dyDescent="0.3">
      <c r="A123" s="5" t="s">
        <v>68</v>
      </c>
      <c r="B123" s="5" t="s">
        <v>42</v>
      </c>
      <c r="C123" s="5" t="s">
        <v>43</v>
      </c>
      <c r="D123" s="7" t="s">
        <v>22</v>
      </c>
      <c r="E123" s="7" t="s">
        <v>22</v>
      </c>
      <c r="F123" s="7" t="s">
        <v>22</v>
      </c>
      <c r="G123" s="7" t="s">
        <v>22</v>
      </c>
      <c r="H123" s="7" t="s">
        <v>22</v>
      </c>
    </row>
    <row r="124" spans="1:8" x14ac:dyDescent="0.3">
      <c r="A124" s="5" t="s">
        <v>68</v>
      </c>
      <c r="B124" s="5" t="s">
        <v>44</v>
      </c>
      <c r="C124" s="5" t="s">
        <v>45</v>
      </c>
      <c r="D124" s="8" t="s">
        <v>22</v>
      </c>
      <c r="E124" s="8" t="s">
        <v>22</v>
      </c>
      <c r="F124" s="8" t="s">
        <v>22</v>
      </c>
      <c r="G124" s="8" t="s">
        <v>22</v>
      </c>
      <c r="H124" s="8" t="s">
        <v>22</v>
      </c>
    </row>
    <row r="125" spans="1:8" x14ac:dyDescent="0.3">
      <c r="A125" s="5" t="s">
        <v>68</v>
      </c>
      <c r="B125" s="5" t="s">
        <v>46</v>
      </c>
      <c r="C125" s="5" t="s">
        <v>47</v>
      </c>
      <c r="D125" s="7" t="s">
        <v>22</v>
      </c>
      <c r="E125" s="7" t="s">
        <v>22</v>
      </c>
      <c r="F125" s="7" t="s">
        <v>22</v>
      </c>
      <c r="G125" s="7" t="s">
        <v>22</v>
      </c>
      <c r="H125" s="7" t="s">
        <v>22</v>
      </c>
    </row>
    <row r="126" spans="1:8" x14ac:dyDescent="0.3">
      <c r="A126" s="5" t="s">
        <v>68</v>
      </c>
      <c r="B126" s="5" t="s">
        <v>48</v>
      </c>
      <c r="C126" s="5" t="s">
        <v>49</v>
      </c>
      <c r="D126" s="8" t="s">
        <v>22</v>
      </c>
      <c r="E126" s="8" t="s">
        <v>22</v>
      </c>
      <c r="F126" s="8" t="s">
        <v>22</v>
      </c>
      <c r="G126" s="8" t="s">
        <v>22</v>
      </c>
      <c r="H126" s="8" t="s">
        <v>22</v>
      </c>
    </row>
    <row r="127" spans="1:8" x14ac:dyDescent="0.3">
      <c r="A127" s="5" t="s">
        <v>68</v>
      </c>
      <c r="B127" s="5" t="s">
        <v>50</v>
      </c>
      <c r="C127" s="5" t="s">
        <v>51</v>
      </c>
      <c r="D127" s="7" t="s">
        <v>22</v>
      </c>
      <c r="E127" s="7" t="s">
        <v>22</v>
      </c>
      <c r="F127" s="7" t="s">
        <v>22</v>
      </c>
      <c r="G127" s="7" t="s">
        <v>22</v>
      </c>
      <c r="H127" s="7" t="s">
        <v>22</v>
      </c>
    </row>
    <row r="128" spans="1:8" x14ac:dyDescent="0.3">
      <c r="A128" s="5" t="s">
        <v>68</v>
      </c>
      <c r="B128" s="5" t="s">
        <v>52</v>
      </c>
      <c r="C128" s="5" t="s">
        <v>53</v>
      </c>
      <c r="D128" s="8" t="s">
        <v>22</v>
      </c>
      <c r="E128" s="8" t="s">
        <v>22</v>
      </c>
      <c r="F128" s="8" t="s">
        <v>22</v>
      </c>
      <c r="G128" s="8" t="s">
        <v>22</v>
      </c>
      <c r="H128" s="8" t="s">
        <v>22</v>
      </c>
    </row>
    <row r="129" spans="1:8" x14ac:dyDescent="0.3">
      <c r="A129" s="5" t="s">
        <v>68</v>
      </c>
      <c r="B129" s="5" t="s">
        <v>54</v>
      </c>
      <c r="C129" s="5" t="s">
        <v>55</v>
      </c>
      <c r="D129" s="7" t="s">
        <v>22</v>
      </c>
      <c r="E129" s="7" t="s">
        <v>22</v>
      </c>
      <c r="F129" s="7" t="s">
        <v>22</v>
      </c>
      <c r="G129" s="7" t="s">
        <v>22</v>
      </c>
      <c r="H129" s="7" t="s">
        <v>22</v>
      </c>
    </row>
    <row r="130" spans="1:8" x14ac:dyDescent="0.3">
      <c r="A130" s="5" t="s">
        <v>68</v>
      </c>
      <c r="B130" s="5" t="s">
        <v>56</v>
      </c>
      <c r="C130" s="5" t="s">
        <v>57</v>
      </c>
      <c r="D130" s="8" t="s">
        <v>22</v>
      </c>
      <c r="E130" s="8" t="s">
        <v>22</v>
      </c>
      <c r="F130" s="8" t="s">
        <v>22</v>
      </c>
      <c r="G130" s="8" t="s">
        <v>22</v>
      </c>
      <c r="H130" s="8" t="s">
        <v>22</v>
      </c>
    </row>
    <row r="131" spans="1:8" x14ac:dyDescent="0.3">
      <c r="A131" s="5" t="s">
        <v>69</v>
      </c>
      <c r="B131" s="5" t="s">
        <v>34</v>
      </c>
      <c r="C131" s="5" t="s">
        <v>35</v>
      </c>
      <c r="D131" s="7" t="s">
        <v>22</v>
      </c>
      <c r="E131" s="7" t="s">
        <v>22</v>
      </c>
      <c r="F131" s="7" t="s">
        <v>22</v>
      </c>
      <c r="G131" s="7" t="s">
        <v>22</v>
      </c>
      <c r="H131" s="7" t="s">
        <v>22</v>
      </c>
    </row>
    <row r="132" spans="1:8" x14ac:dyDescent="0.3">
      <c r="A132" s="5" t="s">
        <v>69</v>
      </c>
      <c r="B132" s="5" t="s">
        <v>36</v>
      </c>
      <c r="C132" s="5" t="s">
        <v>37</v>
      </c>
      <c r="D132" s="8" t="s">
        <v>22</v>
      </c>
      <c r="E132" s="8" t="s">
        <v>22</v>
      </c>
      <c r="F132" s="8" t="s">
        <v>22</v>
      </c>
      <c r="G132" s="8" t="s">
        <v>22</v>
      </c>
      <c r="H132" s="8" t="s">
        <v>22</v>
      </c>
    </row>
    <row r="133" spans="1:8" x14ac:dyDescent="0.3">
      <c r="A133" s="5" t="s">
        <v>69</v>
      </c>
      <c r="B133" s="5" t="s">
        <v>38</v>
      </c>
      <c r="C133" s="5" t="s">
        <v>39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</row>
    <row r="134" spans="1:8" x14ac:dyDescent="0.3">
      <c r="A134" s="5" t="s">
        <v>69</v>
      </c>
      <c r="B134" s="5" t="s">
        <v>40</v>
      </c>
      <c r="C134" s="5" t="s">
        <v>41</v>
      </c>
      <c r="D134" s="8" t="s">
        <v>22</v>
      </c>
      <c r="E134" s="8" t="s">
        <v>22</v>
      </c>
      <c r="F134" s="8" t="s">
        <v>22</v>
      </c>
      <c r="G134" s="8" t="s">
        <v>22</v>
      </c>
      <c r="H134" s="8" t="s">
        <v>22</v>
      </c>
    </row>
    <row r="135" spans="1:8" x14ac:dyDescent="0.3">
      <c r="A135" s="5" t="s">
        <v>69</v>
      </c>
      <c r="B135" s="5" t="s">
        <v>42</v>
      </c>
      <c r="C135" s="5" t="s">
        <v>43</v>
      </c>
      <c r="D135" s="7" t="s">
        <v>22</v>
      </c>
      <c r="E135" s="7" t="s">
        <v>22</v>
      </c>
      <c r="F135" s="7" t="s">
        <v>22</v>
      </c>
      <c r="G135" s="7" t="s">
        <v>22</v>
      </c>
      <c r="H135" s="7" t="s">
        <v>22</v>
      </c>
    </row>
    <row r="136" spans="1:8" x14ac:dyDescent="0.3">
      <c r="A136" s="5" t="s">
        <v>69</v>
      </c>
      <c r="B136" s="5" t="s">
        <v>44</v>
      </c>
      <c r="C136" s="5" t="s">
        <v>45</v>
      </c>
      <c r="D136" s="8" t="s">
        <v>22</v>
      </c>
      <c r="E136" s="8" t="s">
        <v>22</v>
      </c>
      <c r="F136" s="8" t="s">
        <v>22</v>
      </c>
      <c r="G136" s="8" t="s">
        <v>22</v>
      </c>
      <c r="H136" s="8" t="s">
        <v>22</v>
      </c>
    </row>
    <row r="137" spans="1:8" x14ac:dyDescent="0.3">
      <c r="A137" s="5" t="s">
        <v>69</v>
      </c>
      <c r="B137" s="5" t="s">
        <v>46</v>
      </c>
      <c r="C137" s="5" t="s">
        <v>47</v>
      </c>
      <c r="D137" s="7" t="s">
        <v>22</v>
      </c>
      <c r="E137" s="7" t="s">
        <v>22</v>
      </c>
      <c r="F137" s="7" t="s">
        <v>22</v>
      </c>
      <c r="G137" s="7" t="s">
        <v>22</v>
      </c>
      <c r="H137" s="7" t="s">
        <v>22</v>
      </c>
    </row>
    <row r="138" spans="1:8" x14ac:dyDescent="0.3">
      <c r="A138" s="5" t="s">
        <v>69</v>
      </c>
      <c r="B138" s="5" t="s">
        <v>48</v>
      </c>
      <c r="C138" s="5" t="s">
        <v>49</v>
      </c>
      <c r="D138" s="8" t="s">
        <v>22</v>
      </c>
      <c r="E138" s="8" t="s">
        <v>22</v>
      </c>
      <c r="F138" s="8" t="s">
        <v>22</v>
      </c>
      <c r="G138" s="8" t="s">
        <v>22</v>
      </c>
      <c r="H138" s="8" t="s">
        <v>22</v>
      </c>
    </row>
    <row r="139" spans="1:8" x14ac:dyDescent="0.3">
      <c r="A139" s="5" t="s">
        <v>69</v>
      </c>
      <c r="B139" s="5" t="s">
        <v>50</v>
      </c>
      <c r="C139" s="5" t="s">
        <v>51</v>
      </c>
      <c r="D139" s="7" t="s">
        <v>22</v>
      </c>
      <c r="E139" s="7" t="s">
        <v>22</v>
      </c>
      <c r="F139" s="7" t="s">
        <v>22</v>
      </c>
      <c r="G139" s="7" t="s">
        <v>22</v>
      </c>
      <c r="H139" s="7" t="s">
        <v>22</v>
      </c>
    </row>
    <row r="140" spans="1:8" x14ac:dyDescent="0.3">
      <c r="A140" s="5" t="s">
        <v>69</v>
      </c>
      <c r="B140" s="5" t="s">
        <v>52</v>
      </c>
      <c r="C140" s="5" t="s">
        <v>53</v>
      </c>
      <c r="D140" s="8" t="s">
        <v>22</v>
      </c>
      <c r="E140" s="8" t="s">
        <v>22</v>
      </c>
      <c r="F140" s="8" t="s">
        <v>22</v>
      </c>
      <c r="G140" s="8" t="s">
        <v>22</v>
      </c>
      <c r="H140" s="8" t="s">
        <v>22</v>
      </c>
    </row>
    <row r="141" spans="1:8" x14ac:dyDescent="0.3">
      <c r="A141" s="5" t="s">
        <v>69</v>
      </c>
      <c r="B141" s="5" t="s">
        <v>54</v>
      </c>
      <c r="C141" s="5" t="s">
        <v>55</v>
      </c>
      <c r="D141" s="7" t="s">
        <v>22</v>
      </c>
      <c r="E141" s="7" t="s">
        <v>22</v>
      </c>
      <c r="F141" s="7" t="s">
        <v>22</v>
      </c>
      <c r="G141" s="7" t="s">
        <v>22</v>
      </c>
      <c r="H141" s="7" t="s">
        <v>22</v>
      </c>
    </row>
    <row r="142" spans="1:8" x14ac:dyDescent="0.3">
      <c r="A142" s="5" t="s">
        <v>69</v>
      </c>
      <c r="B142" s="5" t="s">
        <v>56</v>
      </c>
      <c r="C142" s="5" t="s">
        <v>57</v>
      </c>
      <c r="D142" s="8" t="s">
        <v>22</v>
      </c>
      <c r="E142" s="8" t="s">
        <v>22</v>
      </c>
      <c r="F142" s="8" t="s">
        <v>22</v>
      </c>
      <c r="G142" s="8" t="s">
        <v>22</v>
      </c>
      <c r="H142" s="8" t="s">
        <v>22</v>
      </c>
    </row>
    <row r="143" spans="1:8" x14ac:dyDescent="0.3">
      <c r="A143" s="5" t="s">
        <v>70</v>
      </c>
      <c r="B143" s="5" t="s">
        <v>34</v>
      </c>
      <c r="C143" s="5" t="s">
        <v>35</v>
      </c>
      <c r="D143" s="7" t="s">
        <v>22</v>
      </c>
      <c r="E143" s="7" t="s">
        <v>22</v>
      </c>
      <c r="F143" s="7" t="s">
        <v>22</v>
      </c>
      <c r="G143" s="7" t="s">
        <v>22</v>
      </c>
      <c r="H143" s="7" t="s">
        <v>22</v>
      </c>
    </row>
    <row r="144" spans="1:8" x14ac:dyDescent="0.3">
      <c r="A144" s="5" t="s">
        <v>70</v>
      </c>
      <c r="B144" s="5" t="s">
        <v>36</v>
      </c>
      <c r="C144" s="5" t="s">
        <v>37</v>
      </c>
      <c r="D144" s="8" t="s">
        <v>22</v>
      </c>
      <c r="E144" s="8" t="s">
        <v>22</v>
      </c>
      <c r="F144" s="8" t="s">
        <v>22</v>
      </c>
      <c r="G144" s="8" t="s">
        <v>22</v>
      </c>
      <c r="H144" s="8" t="s">
        <v>22</v>
      </c>
    </row>
    <row r="145" spans="1:8" x14ac:dyDescent="0.3">
      <c r="A145" s="5" t="s">
        <v>70</v>
      </c>
      <c r="B145" s="5" t="s">
        <v>38</v>
      </c>
      <c r="C145" s="5" t="s">
        <v>39</v>
      </c>
      <c r="D145" s="7" t="s">
        <v>22</v>
      </c>
      <c r="E145" s="7" t="s">
        <v>22</v>
      </c>
      <c r="F145" s="7" t="s">
        <v>22</v>
      </c>
      <c r="G145" s="7" t="s">
        <v>22</v>
      </c>
      <c r="H145" s="7" t="s">
        <v>22</v>
      </c>
    </row>
    <row r="146" spans="1:8" x14ac:dyDescent="0.3">
      <c r="A146" s="5" t="s">
        <v>70</v>
      </c>
      <c r="B146" s="5" t="s">
        <v>40</v>
      </c>
      <c r="C146" s="5" t="s">
        <v>41</v>
      </c>
      <c r="D146" s="8" t="s">
        <v>22</v>
      </c>
      <c r="E146" s="8" t="s">
        <v>22</v>
      </c>
      <c r="F146" s="8" t="s">
        <v>22</v>
      </c>
      <c r="G146" s="8" t="s">
        <v>22</v>
      </c>
      <c r="H146" s="8" t="s">
        <v>22</v>
      </c>
    </row>
    <row r="147" spans="1:8" x14ac:dyDescent="0.3">
      <c r="A147" s="5" t="s">
        <v>70</v>
      </c>
      <c r="B147" s="5" t="s">
        <v>42</v>
      </c>
      <c r="C147" s="5" t="s">
        <v>43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</row>
    <row r="148" spans="1:8" x14ac:dyDescent="0.3">
      <c r="A148" s="5" t="s">
        <v>70</v>
      </c>
      <c r="B148" s="5" t="s">
        <v>44</v>
      </c>
      <c r="C148" s="5" t="s">
        <v>45</v>
      </c>
      <c r="D148" s="8" t="s">
        <v>22</v>
      </c>
      <c r="E148" s="8" t="s">
        <v>22</v>
      </c>
      <c r="F148" s="8" t="s">
        <v>22</v>
      </c>
      <c r="G148" s="8" t="s">
        <v>22</v>
      </c>
      <c r="H148" s="8" t="s">
        <v>22</v>
      </c>
    </row>
    <row r="149" spans="1:8" x14ac:dyDescent="0.3">
      <c r="A149" s="5" t="s">
        <v>70</v>
      </c>
      <c r="B149" s="5" t="s">
        <v>46</v>
      </c>
      <c r="C149" s="5" t="s">
        <v>47</v>
      </c>
      <c r="D149" s="7" t="s">
        <v>22</v>
      </c>
      <c r="E149" s="7" t="s">
        <v>22</v>
      </c>
      <c r="F149" s="7" t="s">
        <v>22</v>
      </c>
      <c r="G149" s="7" t="s">
        <v>22</v>
      </c>
      <c r="H149" s="7" t="s">
        <v>22</v>
      </c>
    </row>
    <row r="150" spans="1:8" x14ac:dyDescent="0.3">
      <c r="A150" s="5" t="s">
        <v>70</v>
      </c>
      <c r="B150" s="5" t="s">
        <v>48</v>
      </c>
      <c r="C150" s="5" t="s">
        <v>49</v>
      </c>
      <c r="D150" s="8" t="s">
        <v>22</v>
      </c>
      <c r="E150" s="8" t="s">
        <v>22</v>
      </c>
      <c r="F150" s="8" t="s">
        <v>22</v>
      </c>
      <c r="G150" s="8" t="s">
        <v>22</v>
      </c>
      <c r="H150" s="8" t="s">
        <v>22</v>
      </c>
    </row>
    <row r="151" spans="1:8" x14ac:dyDescent="0.3">
      <c r="A151" s="5" t="s">
        <v>70</v>
      </c>
      <c r="B151" s="5" t="s">
        <v>50</v>
      </c>
      <c r="C151" s="5" t="s">
        <v>51</v>
      </c>
      <c r="D151" s="7" t="s">
        <v>22</v>
      </c>
      <c r="E151" s="7" t="s">
        <v>22</v>
      </c>
      <c r="F151" s="7" t="s">
        <v>22</v>
      </c>
      <c r="G151" s="7" t="s">
        <v>22</v>
      </c>
      <c r="H151" s="7" t="s">
        <v>22</v>
      </c>
    </row>
    <row r="152" spans="1:8" x14ac:dyDescent="0.3">
      <c r="A152" s="5" t="s">
        <v>70</v>
      </c>
      <c r="B152" s="5" t="s">
        <v>52</v>
      </c>
      <c r="C152" s="5" t="s">
        <v>53</v>
      </c>
      <c r="D152" s="8" t="s">
        <v>22</v>
      </c>
      <c r="E152" s="8" t="s">
        <v>22</v>
      </c>
      <c r="F152" s="8" t="s">
        <v>22</v>
      </c>
      <c r="G152" s="8" t="s">
        <v>22</v>
      </c>
      <c r="H152" s="8" t="s">
        <v>22</v>
      </c>
    </row>
    <row r="153" spans="1:8" x14ac:dyDescent="0.3">
      <c r="A153" s="5" t="s">
        <v>70</v>
      </c>
      <c r="B153" s="5" t="s">
        <v>54</v>
      </c>
      <c r="C153" s="5" t="s">
        <v>55</v>
      </c>
      <c r="D153" s="7" t="s">
        <v>22</v>
      </c>
      <c r="E153" s="7" t="s">
        <v>22</v>
      </c>
      <c r="F153" s="7" t="s">
        <v>22</v>
      </c>
      <c r="G153" s="7" t="s">
        <v>22</v>
      </c>
      <c r="H153" s="7" t="s">
        <v>22</v>
      </c>
    </row>
    <row r="154" spans="1:8" x14ac:dyDescent="0.3">
      <c r="A154" s="5" t="s">
        <v>70</v>
      </c>
      <c r="B154" s="5" t="s">
        <v>56</v>
      </c>
      <c r="C154" s="5" t="s">
        <v>57</v>
      </c>
      <c r="D154" s="8" t="s">
        <v>22</v>
      </c>
      <c r="E154" s="8" t="s">
        <v>22</v>
      </c>
      <c r="F154" s="8" t="s">
        <v>22</v>
      </c>
      <c r="G154" s="8" t="s">
        <v>22</v>
      </c>
      <c r="H154" s="8" t="s">
        <v>22</v>
      </c>
    </row>
    <row r="155" spans="1:8" x14ac:dyDescent="0.3">
      <c r="A155" s="5" t="s">
        <v>71</v>
      </c>
      <c r="B155" s="5" t="s">
        <v>34</v>
      </c>
      <c r="C155" s="5" t="s">
        <v>35</v>
      </c>
      <c r="D155" s="7" t="s">
        <v>22</v>
      </c>
      <c r="E155" s="7" t="s">
        <v>22</v>
      </c>
      <c r="F155" s="7" t="s">
        <v>22</v>
      </c>
      <c r="G155" s="7" t="s">
        <v>22</v>
      </c>
      <c r="H155" s="7" t="s">
        <v>22</v>
      </c>
    </row>
    <row r="156" spans="1:8" x14ac:dyDescent="0.3">
      <c r="A156" s="5" t="s">
        <v>71</v>
      </c>
      <c r="B156" s="5" t="s">
        <v>36</v>
      </c>
      <c r="C156" s="5" t="s">
        <v>37</v>
      </c>
      <c r="D156" s="8" t="s">
        <v>22</v>
      </c>
      <c r="E156" s="8" t="s">
        <v>22</v>
      </c>
      <c r="F156" s="8" t="s">
        <v>22</v>
      </c>
      <c r="G156" s="8" t="s">
        <v>22</v>
      </c>
      <c r="H156" s="8" t="s">
        <v>22</v>
      </c>
    </row>
    <row r="157" spans="1:8" x14ac:dyDescent="0.3">
      <c r="A157" s="5" t="s">
        <v>71</v>
      </c>
      <c r="B157" s="5" t="s">
        <v>38</v>
      </c>
      <c r="C157" s="5" t="s">
        <v>39</v>
      </c>
      <c r="D157" s="7" t="s">
        <v>22</v>
      </c>
      <c r="E157" s="7" t="s">
        <v>22</v>
      </c>
      <c r="F157" s="7" t="s">
        <v>22</v>
      </c>
      <c r="G157" s="7" t="s">
        <v>22</v>
      </c>
      <c r="H157" s="7" t="s">
        <v>22</v>
      </c>
    </row>
    <row r="158" spans="1:8" x14ac:dyDescent="0.3">
      <c r="A158" s="5" t="s">
        <v>71</v>
      </c>
      <c r="B158" s="5" t="s">
        <v>40</v>
      </c>
      <c r="C158" s="5" t="s">
        <v>41</v>
      </c>
      <c r="D158" s="8" t="s">
        <v>22</v>
      </c>
      <c r="E158" s="8" t="s">
        <v>22</v>
      </c>
      <c r="F158" s="8" t="s">
        <v>22</v>
      </c>
      <c r="G158" s="8" t="s">
        <v>22</v>
      </c>
      <c r="H158" s="8" t="s">
        <v>22</v>
      </c>
    </row>
    <row r="159" spans="1:8" x14ac:dyDescent="0.3">
      <c r="A159" s="5" t="s">
        <v>71</v>
      </c>
      <c r="B159" s="5" t="s">
        <v>42</v>
      </c>
      <c r="C159" s="5" t="s">
        <v>43</v>
      </c>
      <c r="D159" s="7" t="s">
        <v>22</v>
      </c>
      <c r="E159" s="7" t="s">
        <v>22</v>
      </c>
      <c r="F159" s="7" t="s">
        <v>22</v>
      </c>
      <c r="G159" s="7" t="s">
        <v>22</v>
      </c>
      <c r="H159" s="7" t="s">
        <v>22</v>
      </c>
    </row>
    <row r="160" spans="1:8" x14ac:dyDescent="0.3">
      <c r="A160" s="5" t="s">
        <v>71</v>
      </c>
      <c r="B160" s="5" t="s">
        <v>44</v>
      </c>
      <c r="C160" s="5" t="s">
        <v>45</v>
      </c>
      <c r="D160" s="8" t="s">
        <v>22</v>
      </c>
      <c r="E160" s="8" t="s">
        <v>22</v>
      </c>
      <c r="F160" s="8" t="s">
        <v>22</v>
      </c>
      <c r="G160" s="8" t="s">
        <v>22</v>
      </c>
      <c r="H160" s="8" t="s">
        <v>22</v>
      </c>
    </row>
    <row r="161" spans="1:8" x14ac:dyDescent="0.3">
      <c r="A161" s="5" t="s">
        <v>71</v>
      </c>
      <c r="B161" s="5" t="s">
        <v>46</v>
      </c>
      <c r="C161" s="5" t="s">
        <v>47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</row>
    <row r="162" spans="1:8" x14ac:dyDescent="0.3">
      <c r="A162" s="5" t="s">
        <v>71</v>
      </c>
      <c r="B162" s="5" t="s">
        <v>48</v>
      </c>
      <c r="C162" s="5" t="s">
        <v>49</v>
      </c>
      <c r="D162" s="8" t="s">
        <v>22</v>
      </c>
      <c r="E162" s="8" t="s">
        <v>22</v>
      </c>
      <c r="F162" s="8" t="s">
        <v>22</v>
      </c>
      <c r="G162" s="8" t="s">
        <v>22</v>
      </c>
      <c r="H162" s="8" t="s">
        <v>22</v>
      </c>
    </row>
    <row r="163" spans="1:8" x14ac:dyDescent="0.3">
      <c r="A163" s="5" t="s">
        <v>71</v>
      </c>
      <c r="B163" s="5" t="s">
        <v>50</v>
      </c>
      <c r="C163" s="5" t="s">
        <v>51</v>
      </c>
      <c r="D163" s="7" t="s">
        <v>22</v>
      </c>
      <c r="E163" s="7" t="s">
        <v>22</v>
      </c>
      <c r="F163" s="7" t="s">
        <v>22</v>
      </c>
      <c r="G163" s="7" t="s">
        <v>22</v>
      </c>
      <c r="H163" s="7" t="s">
        <v>22</v>
      </c>
    </row>
    <row r="164" spans="1:8" x14ac:dyDescent="0.3">
      <c r="A164" s="5" t="s">
        <v>71</v>
      </c>
      <c r="B164" s="5" t="s">
        <v>52</v>
      </c>
      <c r="C164" s="5" t="s">
        <v>53</v>
      </c>
      <c r="D164" s="8" t="s">
        <v>22</v>
      </c>
      <c r="E164" s="8" t="s">
        <v>22</v>
      </c>
      <c r="F164" s="8" t="s">
        <v>22</v>
      </c>
      <c r="G164" s="8" t="s">
        <v>22</v>
      </c>
      <c r="H164" s="8" t="s">
        <v>22</v>
      </c>
    </row>
    <row r="165" spans="1:8" x14ac:dyDescent="0.3">
      <c r="A165" s="5" t="s">
        <v>71</v>
      </c>
      <c r="B165" s="5" t="s">
        <v>54</v>
      </c>
      <c r="C165" s="5" t="s">
        <v>55</v>
      </c>
      <c r="D165" s="7" t="s">
        <v>22</v>
      </c>
      <c r="E165" s="7" t="s">
        <v>22</v>
      </c>
      <c r="F165" s="7" t="s">
        <v>22</v>
      </c>
      <c r="G165" s="7" t="s">
        <v>22</v>
      </c>
      <c r="H165" s="7" t="s">
        <v>22</v>
      </c>
    </row>
    <row r="166" spans="1:8" x14ac:dyDescent="0.3">
      <c r="A166" s="5" t="s">
        <v>71</v>
      </c>
      <c r="B166" s="5" t="s">
        <v>56</v>
      </c>
      <c r="C166" s="5" t="s">
        <v>57</v>
      </c>
      <c r="D166" s="8" t="s">
        <v>22</v>
      </c>
      <c r="E166" s="8" t="s">
        <v>22</v>
      </c>
      <c r="F166" s="8" t="s">
        <v>22</v>
      </c>
      <c r="G166" s="8" t="s">
        <v>22</v>
      </c>
      <c r="H166" s="8" t="s">
        <v>22</v>
      </c>
    </row>
    <row r="167" spans="1:8" x14ac:dyDescent="0.3">
      <c r="A167" s="5" t="s">
        <v>72</v>
      </c>
      <c r="B167" s="5" t="s">
        <v>34</v>
      </c>
      <c r="C167" s="5" t="s">
        <v>35</v>
      </c>
      <c r="D167" s="7" t="s">
        <v>22</v>
      </c>
      <c r="E167" s="7" t="s">
        <v>22</v>
      </c>
      <c r="F167" s="7" t="s">
        <v>22</v>
      </c>
      <c r="G167" s="7" t="s">
        <v>22</v>
      </c>
      <c r="H167" s="7" t="s">
        <v>22</v>
      </c>
    </row>
    <row r="168" spans="1:8" x14ac:dyDescent="0.3">
      <c r="A168" s="5" t="s">
        <v>72</v>
      </c>
      <c r="B168" s="5" t="s">
        <v>36</v>
      </c>
      <c r="C168" s="5" t="s">
        <v>37</v>
      </c>
      <c r="D168" s="8" t="s">
        <v>22</v>
      </c>
      <c r="E168" s="8" t="s">
        <v>22</v>
      </c>
      <c r="F168" s="8" t="s">
        <v>22</v>
      </c>
      <c r="G168" s="8" t="s">
        <v>22</v>
      </c>
      <c r="H168" s="8" t="s">
        <v>22</v>
      </c>
    </row>
    <row r="169" spans="1:8" x14ac:dyDescent="0.3">
      <c r="A169" s="5" t="s">
        <v>72</v>
      </c>
      <c r="B169" s="5" t="s">
        <v>38</v>
      </c>
      <c r="C169" s="5" t="s">
        <v>39</v>
      </c>
      <c r="D169" s="7" t="s">
        <v>22</v>
      </c>
      <c r="E169" s="7" t="s">
        <v>22</v>
      </c>
      <c r="F169" s="7" t="s">
        <v>22</v>
      </c>
      <c r="G169" s="7" t="s">
        <v>22</v>
      </c>
      <c r="H169" s="7" t="s">
        <v>22</v>
      </c>
    </row>
    <row r="170" spans="1:8" x14ac:dyDescent="0.3">
      <c r="A170" s="5" t="s">
        <v>72</v>
      </c>
      <c r="B170" s="5" t="s">
        <v>40</v>
      </c>
      <c r="C170" s="5" t="s">
        <v>41</v>
      </c>
      <c r="D170" s="8" t="s">
        <v>22</v>
      </c>
      <c r="E170" s="8" t="s">
        <v>22</v>
      </c>
      <c r="F170" s="8" t="s">
        <v>22</v>
      </c>
      <c r="G170" s="8" t="s">
        <v>22</v>
      </c>
      <c r="H170" s="8" t="s">
        <v>22</v>
      </c>
    </row>
    <row r="171" spans="1:8" x14ac:dyDescent="0.3">
      <c r="A171" s="5" t="s">
        <v>72</v>
      </c>
      <c r="B171" s="5" t="s">
        <v>42</v>
      </c>
      <c r="C171" s="5" t="s">
        <v>43</v>
      </c>
      <c r="D171" s="7" t="s">
        <v>22</v>
      </c>
      <c r="E171" s="7" t="s">
        <v>22</v>
      </c>
      <c r="F171" s="7" t="s">
        <v>22</v>
      </c>
      <c r="G171" s="7" t="s">
        <v>22</v>
      </c>
      <c r="H171" s="7" t="s">
        <v>22</v>
      </c>
    </row>
    <row r="172" spans="1:8" x14ac:dyDescent="0.3">
      <c r="A172" s="5" t="s">
        <v>72</v>
      </c>
      <c r="B172" s="5" t="s">
        <v>44</v>
      </c>
      <c r="C172" s="5" t="s">
        <v>45</v>
      </c>
      <c r="D172" s="8" t="s">
        <v>22</v>
      </c>
      <c r="E172" s="8" t="s">
        <v>22</v>
      </c>
      <c r="F172" s="8" t="s">
        <v>22</v>
      </c>
      <c r="G172" s="8" t="s">
        <v>22</v>
      </c>
      <c r="H172" s="8" t="s">
        <v>22</v>
      </c>
    </row>
    <row r="173" spans="1:8" x14ac:dyDescent="0.3">
      <c r="A173" s="5" t="s">
        <v>72</v>
      </c>
      <c r="B173" s="5" t="s">
        <v>46</v>
      </c>
      <c r="C173" s="5" t="s">
        <v>47</v>
      </c>
      <c r="D173" s="7" t="s">
        <v>22</v>
      </c>
      <c r="E173" s="7" t="s">
        <v>22</v>
      </c>
      <c r="F173" s="7" t="s">
        <v>22</v>
      </c>
      <c r="G173" s="7" t="s">
        <v>22</v>
      </c>
      <c r="H173" s="7" t="s">
        <v>22</v>
      </c>
    </row>
    <row r="174" spans="1:8" x14ac:dyDescent="0.3">
      <c r="A174" s="5" t="s">
        <v>72</v>
      </c>
      <c r="B174" s="5" t="s">
        <v>48</v>
      </c>
      <c r="C174" s="5" t="s">
        <v>49</v>
      </c>
      <c r="D174" s="8" t="s">
        <v>22</v>
      </c>
      <c r="E174" s="8" t="s">
        <v>22</v>
      </c>
      <c r="F174" s="8" t="s">
        <v>22</v>
      </c>
      <c r="G174" s="8" t="s">
        <v>22</v>
      </c>
      <c r="H174" s="8" t="s">
        <v>22</v>
      </c>
    </row>
    <row r="175" spans="1:8" x14ac:dyDescent="0.3">
      <c r="A175" s="5" t="s">
        <v>72</v>
      </c>
      <c r="B175" s="5" t="s">
        <v>50</v>
      </c>
      <c r="C175" s="5" t="s">
        <v>51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</row>
    <row r="176" spans="1:8" x14ac:dyDescent="0.3">
      <c r="A176" s="5" t="s">
        <v>72</v>
      </c>
      <c r="B176" s="5" t="s">
        <v>52</v>
      </c>
      <c r="C176" s="5" t="s">
        <v>53</v>
      </c>
      <c r="D176" s="8" t="s">
        <v>22</v>
      </c>
      <c r="E176" s="8" t="s">
        <v>22</v>
      </c>
      <c r="F176" s="8" t="s">
        <v>22</v>
      </c>
      <c r="G176" s="8" t="s">
        <v>22</v>
      </c>
      <c r="H176" s="8" t="s">
        <v>22</v>
      </c>
    </row>
    <row r="177" spans="1:8" x14ac:dyDescent="0.3">
      <c r="A177" s="5" t="s">
        <v>72</v>
      </c>
      <c r="B177" s="5" t="s">
        <v>54</v>
      </c>
      <c r="C177" s="5" t="s">
        <v>55</v>
      </c>
      <c r="D177" s="7" t="s">
        <v>22</v>
      </c>
      <c r="E177" s="7" t="s">
        <v>22</v>
      </c>
      <c r="F177" s="7" t="s">
        <v>22</v>
      </c>
      <c r="G177" s="7" t="s">
        <v>22</v>
      </c>
      <c r="H177" s="7" t="s">
        <v>22</v>
      </c>
    </row>
    <row r="178" spans="1:8" x14ac:dyDescent="0.3">
      <c r="A178" s="5" t="s">
        <v>72</v>
      </c>
      <c r="B178" s="5" t="s">
        <v>56</v>
      </c>
      <c r="C178" s="5" t="s">
        <v>57</v>
      </c>
      <c r="D178" s="8" t="s">
        <v>22</v>
      </c>
      <c r="E178" s="8" t="s">
        <v>22</v>
      </c>
      <c r="F178" s="8" t="s">
        <v>22</v>
      </c>
      <c r="G178" s="8" t="s">
        <v>22</v>
      </c>
      <c r="H178" s="8" t="s">
        <v>22</v>
      </c>
    </row>
    <row r="179" spans="1:8" x14ac:dyDescent="0.3">
      <c r="A179" s="5" t="s">
        <v>73</v>
      </c>
      <c r="B179" s="5" t="s">
        <v>34</v>
      </c>
      <c r="C179" s="5" t="s">
        <v>35</v>
      </c>
      <c r="D179" s="7" t="s">
        <v>22</v>
      </c>
      <c r="E179" s="7" t="s">
        <v>22</v>
      </c>
      <c r="F179" s="7" t="s">
        <v>22</v>
      </c>
      <c r="G179" s="7" t="s">
        <v>22</v>
      </c>
      <c r="H179" s="7" t="s">
        <v>22</v>
      </c>
    </row>
    <row r="180" spans="1:8" x14ac:dyDescent="0.3">
      <c r="A180" s="5" t="s">
        <v>73</v>
      </c>
      <c r="B180" s="5" t="s">
        <v>36</v>
      </c>
      <c r="C180" s="5" t="s">
        <v>37</v>
      </c>
      <c r="D180" s="8" t="s">
        <v>22</v>
      </c>
      <c r="E180" s="8" t="s">
        <v>22</v>
      </c>
      <c r="F180" s="8" t="s">
        <v>22</v>
      </c>
      <c r="G180" s="8" t="s">
        <v>22</v>
      </c>
      <c r="H180" s="8" t="s">
        <v>22</v>
      </c>
    </row>
    <row r="181" spans="1:8" x14ac:dyDescent="0.3">
      <c r="A181" s="5" t="s">
        <v>73</v>
      </c>
      <c r="B181" s="5" t="s">
        <v>38</v>
      </c>
      <c r="C181" s="5" t="s">
        <v>39</v>
      </c>
      <c r="D181" s="7" t="s">
        <v>22</v>
      </c>
      <c r="E181" s="7" t="s">
        <v>22</v>
      </c>
      <c r="F181" s="7" t="s">
        <v>22</v>
      </c>
      <c r="G181" s="7" t="s">
        <v>22</v>
      </c>
      <c r="H181" s="7" t="s">
        <v>22</v>
      </c>
    </row>
    <row r="182" spans="1:8" x14ac:dyDescent="0.3">
      <c r="A182" s="5" t="s">
        <v>73</v>
      </c>
      <c r="B182" s="5" t="s">
        <v>40</v>
      </c>
      <c r="C182" s="5" t="s">
        <v>41</v>
      </c>
      <c r="D182" s="8" t="s">
        <v>22</v>
      </c>
      <c r="E182" s="8" t="s">
        <v>22</v>
      </c>
      <c r="F182" s="8" t="s">
        <v>22</v>
      </c>
      <c r="G182" s="8" t="s">
        <v>22</v>
      </c>
      <c r="H182" s="8" t="s">
        <v>22</v>
      </c>
    </row>
    <row r="183" spans="1:8" x14ac:dyDescent="0.3">
      <c r="A183" s="5" t="s">
        <v>73</v>
      </c>
      <c r="B183" s="5" t="s">
        <v>42</v>
      </c>
      <c r="C183" s="5" t="s">
        <v>43</v>
      </c>
      <c r="D183" s="7" t="s">
        <v>22</v>
      </c>
      <c r="E183" s="7" t="s">
        <v>22</v>
      </c>
      <c r="F183" s="7" t="s">
        <v>22</v>
      </c>
      <c r="G183" s="7" t="s">
        <v>22</v>
      </c>
      <c r="H183" s="7" t="s">
        <v>22</v>
      </c>
    </row>
    <row r="184" spans="1:8" x14ac:dyDescent="0.3">
      <c r="A184" s="5" t="s">
        <v>73</v>
      </c>
      <c r="B184" s="5" t="s">
        <v>44</v>
      </c>
      <c r="C184" s="5" t="s">
        <v>45</v>
      </c>
      <c r="D184" s="8" t="s">
        <v>22</v>
      </c>
      <c r="E184" s="8" t="s">
        <v>22</v>
      </c>
      <c r="F184" s="8" t="s">
        <v>22</v>
      </c>
      <c r="G184" s="8" t="s">
        <v>22</v>
      </c>
      <c r="H184" s="8" t="s">
        <v>22</v>
      </c>
    </row>
    <row r="185" spans="1:8" x14ac:dyDescent="0.3">
      <c r="A185" s="5" t="s">
        <v>73</v>
      </c>
      <c r="B185" s="5" t="s">
        <v>46</v>
      </c>
      <c r="C185" s="5" t="s">
        <v>47</v>
      </c>
      <c r="D185" s="7" t="s">
        <v>22</v>
      </c>
      <c r="E185" s="7" t="s">
        <v>22</v>
      </c>
      <c r="F185" s="7" t="s">
        <v>22</v>
      </c>
      <c r="G185" s="7" t="s">
        <v>22</v>
      </c>
      <c r="H185" s="7" t="s">
        <v>22</v>
      </c>
    </row>
    <row r="186" spans="1:8" x14ac:dyDescent="0.3">
      <c r="A186" s="5" t="s">
        <v>73</v>
      </c>
      <c r="B186" s="5" t="s">
        <v>48</v>
      </c>
      <c r="C186" s="5" t="s">
        <v>49</v>
      </c>
      <c r="D186" s="8" t="s">
        <v>22</v>
      </c>
      <c r="E186" s="8" t="s">
        <v>22</v>
      </c>
      <c r="F186" s="8" t="s">
        <v>22</v>
      </c>
      <c r="G186" s="8" t="s">
        <v>22</v>
      </c>
      <c r="H186" s="8" t="s">
        <v>22</v>
      </c>
    </row>
    <row r="187" spans="1:8" x14ac:dyDescent="0.3">
      <c r="A187" s="5" t="s">
        <v>73</v>
      </c>
      <c r="B187" s="5" t="s">
        <v>50</v>
      </c>
      <c r="C187" s="5" t="s">
        <v>51</v>
      </c>
      <c r="D187" s="7" t="s">
        <v>22</v>
      </c>
      <c r="E187" s="7" t="s">
        <v>22</v>
      </c>
      <c r="F187" s="7" t="s">
        <v>22</v>
      </c>
      <c r="G187" s="7" t="s">
        <v>22</v>
      </c>
      <c r="H187" s="7" t="s">
        <v>22</v>
      </c>
    </row>
    <row r="188" spans="1:8" x14ac:dyDescent="0.3">
      <c r="A188" s="5" t="s">
        <v>73</v>
      </c>
      <c r="B188" s="5" t="s">
        <v>52</v>
      </c>
      <c r="C188" s="5" t="s">
        <v>53</v>
      </c>
      <c r="D188" s="8" t="s">
        <v>22</v>
      </c>
      <c r="E188" s="8" t="s">
        <v>22</v>
      </c>
      <c r="F188" s="8" t="s">
        <v>22</v>
      </c>
      <c r="G188" s="8" t="s">
        <v>22</v>
      </c>
      <c r="H188" s="8" t="s">
        <v>22</v>
      </c>
    </row>
    <row r="189" spans="1:8" x14ac:dyDescent="0.3">
      <c r="A189" s="5" t="s">
        <v>73</v>
      </c>
      <c r="B189" s="5" t="s">
        <v>54</v>
      </c>
      <c r="C189" s="5" t="s">
        <v>55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</row>
    <row r="190" spans="1:8" x14ac:dyDescent="0.3">
      <c r="A190" s="5" t="s">
        <v>73</v>
      </c>
      <c r="B190" s="5" t="s">
        <v>56</v>
      </c>
      <c r="C190" s="5" t="s">
        <v>57</v>
      </c>
      <c r="D190" s="8" t="s">
        <v>22</v>
      </c>
      <c r="E190" s="8" t="s">
        <v>22</v>
      </c>
      <c r="F190" s="8" t="s">
        <v>22</v>
      </c>
      <c r="G190" s="8" t="s">
        <v>22</v>
      </c>
      <c r="H190" s="8" t="s">
        <v>22</v>
      </c>
    </row>
    <row r="191" spans="1:8" x14ac:dyDescent="0.3">
      <c r="A191" s="5" t="s">
        <v>74</v>
      </c>
      <c r="B191" s="5" t="s">
        <v>34</v>
      </c>
      <c r="C191" s="5" t="s">
        <v>35</v>
      </c>
      <c r="D191" s="7" t="s">
        <v>22</v>
      </c>
      <c r="E191" s="7" t="s">
        <v>22</v>
      </c>
      <c r="F191" s="7" t="s">
        <v>22</v>
      </c>
      <c r="G191" s="7" t="s">
        <v>22</v>
      </c>
      <c r="H191" s="7" t="s">
        <v>22</v>
      </c>
    </row>
    <row r="192" spans="1:8" x14ac:dyDescent="0.3">
      <c r="A192" s="5" t="s">
        <v>74</v>
      </c>
      <c r="B192" s="5" t="s">
        <v>36</v>
      </c>
      <c r="C192" s="5" t="s">
        <v>37</v>
      </c>
      <c r="D192" s="8" t="s">
        <v>22</v>
      </c>
      <c r="E192" s="8" t="s">
        <v>22</v>
      </c>
      <c r="F192" s="8" t="s">
        <v>22</v>
      </c>
      <c r="G192" s="8" t="s">
        <v>22</v>
      </c>
      <c r="H192" s="8" t="s">
        <v>22</v>
      </c>
    </row>
    <row r="193" spans="1:8" x14ac:dyDescent="0.3">
      <c r="A193" s="5" t="s">
        <v>74</v>
      </c>
      <c r="B193" s="5" t="s">
        <v>38</v>
      </c>
      <c r="C193" s="5" t="s">
        <v>39</v>
      </c>
      <c r="D193" s="7" t="s">
        <v>22</v>
      </c>
      <c r="E193" s="7" t="s">
        <v>22</v>
      </c>
      <c r="F193" s="7" t="s">
        <v>22</v>
      </c>
      <c r="G193" s="7" t="s">
        <v>22</v>
      </c>
      <c r="H193" s="7" t="s">
        <v>22</v>
      </c>
    </row>
    <row r="194" spans="1:8" x14ac:dyDescent="0.3">
      <c r="A194" s="5" t="s">
        <v>74</v>
      </c>
      <c r="B194" s="5" t="s">
        <v>40</v>
      </c>
      <c r="C194" s="5" t="s">
        <v>41</v>
      </c>
      <c r="D194" s="8" t="s">
        <v>22</v>
      </c>
      <c r="E194" s="8" t="s">
        <v>22</v>
      </c>
      <c r="F194" s="8" t="s">
        <v>22</v>
      </c>
      <c r="G194" s="8" t="s">
        <v>22</v>
      </c>
      <c r="H194" s="8" t="s">
        <v>22</v>
      </c>
    </row>
    <row r="195" spans="1:8" x14ac:dyDescent="0.3">
      <c r="A195" s="5" t="s">
        <v>74</v>
      </c>
      <c r="B195" s="5" t="s">
        <v>42</v>
      </c>
      <c r="C195" s="5" t="s">
        <v>43</v>
      </c>
      <c r="D195" s="7" t="s">
        <v>22</v>
      </c>
      <c r="E195" s="7" t="s">
        <v>22</v>
      </c>
      <c r="F195" s="7" t="s">
        <v>22</v>
      </c>
      <c r="G195" s="7" t="s">
        <v>22</v>
      </c>
      <c r="H195" s="7" t="s">
        <v>22</v>
      </c>
    </row>
    <row r="196" spans="1:8" x14ac:dyDescent="0.3">
      <c r="A196" s="5" t="s">
        <v>74</v>
      </c>
      <c r="B196" s="5" t="s">
        <v>44</v>
      </c>
      <c r="C196" s="5" t="s">
        <v>45</v>
      </c>
      <c r="D196" s="8" t="s">
        <v>22</v>
      </c>
      <c r="E196" s="8" t="s">
        <v>22</v>
      </c>
      <c r="F196" s="8" t="s">
        <v>22</v>
      </c>
      <c r="G196" s="8" t="s">
        <v>22</v>
      </c>
      <c r="H196" s="8" t="s">
        <v>22</v>
      </c>
    </row>
    <row r="197" spans="1:8" x14ac:dyDescent="0.3">
      <c r="A197" s="5" t="s">
        <v>74</v>
      </c>
      <c r="B197" s="5" t="s">
        <v>46</v>
      </c>
      <c r="C197" s="5" t="s">
        <v>47</v>
      </c>
      <c r="D197" s="7" t="s">
        <v>22</v>
      </c>
      <c r="E197" s="7" t="s">
        <v>22</v>
      </c>
      <c r="F197" s="7" t="s">
        <v>22</v>
      </c>
      <c r="G197" s="7" t="s">
        <v>22</v>
      </c>
      <c r="H197" s="7" t="s">
        <v>22</v>
      </c>
    </row>
    <row r="198" spans="1:8" x14ac:dyDescent="0.3">
      <c r="A198" s="5" t="s">
        <v>74</v>
      </c>
      <c r="B198" s="5" t="s">
        <v>48</v>
      </c>
      <c r="C198" s="5" t="s">
        <v>49</v>
      </c>
      <c r="D198" s="8" t="s">
        <v>22</v>
      </c>
      <c r="E198" s="8" t="s">
        <v>22</v>
      </c>
      <c r="F198" s="8" t="s">
        <v>22</v>
      </c>
      <c r="G198" s="8" t="s">
        <v>22</v>
      </c>
      <c r="H198" s="8" t="s">
        <v>22</v>
      </c>
    </row>
    <row r="199" spans="1:8" x14ac:dyDescent="0.3">
      <c r="A199" s="5" t="s">
        <v>74</v>
      </c>
      <c r="B199" s="5" t="s">
        <v>50</v>
      </c>
      <c r="C199" s="5" t="s">
        <v>51</v>
      </c>
      <c r="D199" s="7" t="s">
        <v>22</v>
      </c>
      <c r="E199" s="7" t="s">
        <v>22</v>
      </c>
      <c r="F199" s="7" t="s">
        <v>22</v>
      </c>
      <c r="G199" s="7" t="s">
        <v>22</v>
      </c>
      <c r="H199" s="7" t="s">
        <v>22</v>
      </c>
    </row>
    <row r="200" spans="1:8" x14ac:dyDescent="0.3">
      <c r="A200" s="5" t="s">
        <v>74</v>
      </c>
      <c r="B200" s="5" t="s">
        <v>52</v>
      </c>
      <c r="C200" s="5" t="s">
        <v>53</v>
      </c>
      <c r="D200" s="8" t="s">
        <v>22</v>
      </c>
      <c r="E200" s="8" t="s">
        <v>22</v>
      </c>
      <c r="F200" s="8" t="s">
        <v>22</v>
      </c>
      <c r="G200" s="8" t="s">
        <v>22</v>
      </c>
      <c r="H200" s="8" t="s">
        <v>22</v>
      </c>
    </row>
    <row r="201" spans="1:8" x14ac:dyDescent="0.3">
      <c r="A201" s="5" t="s">
        <v>74</v>
      </c>
      <c r="B201" s="5" t="s">
        <v>54</v>
      </c>
      <c r="C201" s="5" t="s">
        <v>55</v>
      </c>
      <c r="D201" s="7" t="s">
        <v>22</v>
      </c>
      <c r="E201" s="7" t="s">
        <v>22</v>
      </c>
      <c r="F201" s="7" t="s">
        <v>22</v>
      </c>
      <c r="G201" s="7" t="s">
        <v>22</v>
      </c>
      <c r="H201" s="7" t="s">
        <v>22</v>
      </c>
    </row>
    <row r="202" spans="1:8" x14ac:dyDescent="0.3">
      <c r="A202" s="5" t="s">
        <v>74</v>
      </c>
      <c r="B202" s="5" t="s">
        <v>56</v>
      </c>
      <c r="C202" s="5" t="s">
        <v>57</v>
      </c>
      <c r="D202" s="8" t="s">
        <v>22</v>
      </c>
      <c r="E202" s="8" t="s">
        <v>22</v>
      </c>
      <c r="F202" s="8" t="s">
        <v>22</v>
      </c>
      <c r="G202" s="8" t="s">
        <v>22</v>
      </c>
      <c r="H202" s="8" t="s">
        <v>22</v>
      </c>
    </row>
    <row r="203" spans="1:8" x14ac:dyDescent="0.3">
      <c r="A203" s="5" t="s">
        <v>75</v>
      </c>
      <c r="B203" s="5" t="s">
        <v>34</v>
      </c>
      <c r="C203" s="5" t="s">
        <v>35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</row>
    <row r="204" spans="1:8" x14ac:dyDescent="0.3">
      <c r="A204" s="5" t="s">
        <v>75</v>
      </c>
      <c r="B204" s="5" t="s">
        <v>36</v>
      </c>
      <c r="C204" s="5" t="s">
        <v>37</v>
      </c>
      <c r="D204" s="8" t="s">
        <v>22</v>
      </c>
      <c r="E204" s="8" t="s">
        <v>22</v>
      </c>
      <c r="F204" s="8" t="s">
        <v>22</v>
      </c>
      <c r="G204" s="8" t="s">
        <v>22</v>
      </c>
      <c r="H204" s="8" t="s">
        <v>22</v>
      </c>
    </row>
    <row r="205" spans="1:8" x14ac:dyDescent="0.3">
      <c r="A205" s="5" t="s">
        <v>75</v>
      </c>
      <c r="B205" s="5" t="s">
        <v>38</v>
      </c>
      <c r="C205" s="5" t="s">
        <v>39</v>
      </c>
      <c r="D205" s="7" t="s">
        <v>22</v>
      </c>
      <c r="E205" s="7" t="s">
        <v>22</v>
      </c>
      <c r="F205" s="7" t="s">
        <v>22</v>
      </c>
      <c r="G205" s="7" t="s">
        <v>22</v>
      </c>
      <c r="H205" s="7" t="s">
        <v>22</v>
      </c>
    </row>
    <row r="206" spans="1:8" x14ac:dyDescent="0.3">
      <c r="A206" s="5" t="s">
        <v>75</v>
      </c>
      <c r="B206" s="5" t="s">
        <v>40</v>
      </c>
      <c r="C206" s="5" t="s">
        <v>41</v>
      </c>
      <c r="D206" s="8" t="s">
        <v>22</v>
      </c>
      <c r="E206" s="8" t="s">
        <v>22</v>
      </c>
      <c r="F206" s="8" t="s">
        <v>22</v>
      </c>
      <c r="G206" s="8" t="s">
        <v>22</v>
      </c>
      <c r="H206" s="8" t="s">
        <v>22</v>
      </c>
    </row>
    <row r="207" spans="1:8" x14ac:dyDescent="0.3">
      <c r="A207" s="5" t="s">
        <v>75</v>
      </c>
      <c r="B207" s="5" t="s">
        <v>42</v>
      </c>
      <c r="C207" s="5" t="s">
        <v>43</v>
      </c>
      <c r="D207" s="7" t="s">
        <v>22</v>
      </c>
      <c r="E207" s="7" t="s">
        <v>22</v>
      </c>
      <c r="F207" s="7" t="s">
        <v>22</v>
      </c>
      <c r="G207" s="7" t="s">
        <v>22</v>
      </c>
      <c r="H207" s="7" t="s">
        <v>22</v>
      </c>
    </row>
    <row r="208" spans="1:8" x14ac:dyDescent="0.3">
      <c r="A208" s="5" t="s">
        <v>75</v>
      </c>
      <c r="B208" s="5" t="s">
        <v>44</v>
      </c>
      <c r="C208" s="5" t="s">
        <v>45</v>
      </c>
      <c r="D208" s="8" t="s">
        <v>22</v>
      </c>
      <c r="E208" s="8" t="s">
        <v>22</v>
      </c>
      <c r="F208" s="8" t="s">
        <v>22</v>
      </c>
      <c r="G208" s="8" t="s">
        <v>22</v>
      </c>
      <c r="H208" s="8" t="s">
        <v>22</v>
      </c>
    </row>
    <row r="209" spans="1:8" x14ac:dyDescent="0.3">
      <c r="A209" s="5" t="s">
        <v>75</v>
      </c>
      <c r="B209" s="5" t="s">
        <v>46</v>
      </c>
      <c r="C209" s="5" t="s">
        <v>47</v>
      </c>
      <c r="D209" s="7" t="s">
        <v>22</v>
      </c>
      <c r="E209" s="7" t="s">
        <v>22</v>
      </c>
      <c r="F209" s="7" t="s">
        <v>22</v>
      </c>
      <c r="G209" s="7" t="s">
        <v>22</v>
      </c>
      <c r="H209" s="7" t="s">
        <v>22</v>
      </c>
    </row>
    <row r="210" spans="1:8" x14ac:dyDescent="0.3">
      <c r="A210" s="5" t="s">
        <v>75</v>
      </c>
      <c r="B210" s="5" t="s">
        <v>48</v>
      </c>
      <c r="C210" s="5" t="s">
        <v>49</v>
      </c>
      <c r="D210" s="8" t="s">
        <v>22</v>
      </c>
      <c r="E210" s="8" t="s">
        <v>22</v>
      </c>
      <c r="F210" s="8" t="s">
        <v>22</v>
      </c>
      <c r="G210" s="8" t="s">
        <v>22</v>
      </c>
      <c r="H210" s="8" t="s">
        <v>22</v>
      </c>
    </row>
    <row r="211" spans="1:8" x14ac:dyDescent="0.3">
      <c r="A211" s="5" t="s">
        <v>75</v>
      </c>
      <c r="B211" s="5" t="s">
        <v>50</v>
      </c>
      <c r="C211" s="5" t="s">
        <v>51</v>
      </c>
      <c r="D211" s="7" t="s">
        <v>22</v>
      </c>
      <c r="E211" s="7" t="s">
        <v>22</v>
      </c>
      <c r="F211" s="7" t="s">
        <v>22</v>
      </c>
      <c r="G211" s="7" t="s">
        <v>22</v>
      </c>
      <c r="H211" s="7" t="s">
        <v>22</v>
      </c>
    </row>
    <row r="212" spans="1:8" x14ac:dyDescent="0.3">
      <c r="A212" s="5" t="s">
        <v>75</v>
      </c>
      <c r="B212" s="5" t="s">
        <v>52</v>
      </c>
      <c r="C212" s="5" t="s">
        <v>53</v>
      </c>
      <c r="D212" s="8" t="s">
        <v>22</v>
      </c>
      <c r="E212" s="8" t="s">
        <v>22</v>
      </c>
      <c r="F212" s="8" t="s">
        <v>22</v>
      </c>
      <c r="G212" s="8" t="s">
        <v>22</v>
      </c>
      <c r="H212" s="8" t="s">
        <v>22</v>
      </c>
    </row>
    <row r="213" spans="1:8" x14ac:dyDescent="0.3">
      <c r="A213" s="5" t="s">
        <v>75</v>
      </c>
      <c r="B213" s="5" t="s">
        <v>54</v>
      </c>
      <c r="C213" s="5" t="s">
        <v>55</v>
      </c>
      <c r="D213" s="7" t="s">
        <v>22</v>
      </c>
      <c r="E213" s="7" t="s">
        <v>22</v>
      </c>
      <c r="F213" s="7" t="s">
        <v>22</v>
      </c>
      <c r="G213" s="7" t="s">
        <v>22</v>
      </c>
      <c r="H213" s="7" t="s">
        <v>22</v>
      </c>
    </row>
    <row r="214" spans="1:8" x14ac:dyDescent="0.3">
      <c r="A214" s="5" t="s">
        <v>75</v>
      </c>
      <c r="B214" s="5" t="s">
        <v>56</v>
      </c>
      <c r="C214" s="5" t="s">
        <v>57</v>
      </c>
      <c r="D214" s="8" t="s">
        <v>22</v>
      </c>
      <c r="E214" s="8" t="s">
        <v>22</v>
      </c>
      <c r="F214" s="8" t="s">
        <v>22</v>
      </c>
      <c r="G214" s="8" t="s">
        <v>22</v>
      </c>
      <c r="H214" s="8" t="s">
        <v>22</v>
      </c>
    </row>
    <row r="215" spans="1:8" x14ac:dyDescent="0.3">
      <c r="A215" s="5" t="s">
        <v>76</v>
      </c>
      <c r="B215" s="5" t="s">
        <v>34</v>
      </c>
      <c r="C215" s="5" t="s">
        <v>35</v>
      </c>
      <c r="D215" s="7" t="s">
        <v>22</v>
      </c>
      <c r="E215" s="7" t="s">
        <v>22</v>
      </c>
      <c r="F215" s="7" t="s">
        <v>22</v>
      </c>
      <c r="G215" s="7" t="s">
        <v>22</v>
      </c>
      <c r="H215" s="7" t="s">
        <v>22</v>
      </c>
    </row>
    <row r="216" spans="1:8" x14ac:dyDescent="0.3">
      <c r="A216" s="5" t="s">
        <v>76</v>
      </c>
      <c r="B216" s="5" t="s">
        <v>36</v>
      </c>
      <c r="C216" s="5" t="s">
        <v>37</v>
      </c>
      <c r="D216" s="8" t="s">
        <v>22</v>
      </c>
      <c r="E216" s="8" t="s">
        <v>22</v>
      </c>
      <c r="F216" s="8" t="s">
        <v>22</v>
      </c>
      <c r="G216" s="8" t="s">
        <v>22</v>
      </c>
      <c r="H216" s="8" t="s">
        <v>22</v>
      </c>
    </row>
    <row r="217" spans="1:8" x14ac:dyDescent="0.3">
      <c r="A217" s="5" t="s">
        <v>76</v>
      </c>
      <c r="B217" s="5" t="s">
        <v>38</v>
      </c>
      <c r="C217" s="5" t="s">
        <v>39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</row>
    <row r="218" spans="1:8" x14ac:dyDescent="0.3">
      <c r="A218" s="5" t="s">
        <v>76</v>
      </c>
      <c r="B218" s="5" t="s">
        <v>40</v>
      </c>
      <c r="C218" s="5" t="s">
        <v>41</v>
      </c>
      <c r="D218" s="8" t="s">
        <v>22</v>
      </c>
      <c r="E218" s="8" t="s">
        <v>22</v>
      </c>
      <c r="F218" s="8" t="s">
        <v>22</v>
      </c>
      <c r="G218" s="8" t="s">
        <v>22</v>
      </c>
      <c r="H218" s="8" t="s">
        <v>22</v>
      </c>
    </row>
    <row r="219" spans="1:8" x14ac:dyDescent="0.3">
      <c r="A219" s="5" t="s">
        <v>76</v>
      </c>
      <c r="B219" s="5" t="s">
        <v>42</v>
      </c>
      <c r="C219" s="5" t="s">
        <v>43</v>
      </c>
      <c r="D219" s="7" t="s">
        <v>22</v>
      </c>
      <c r="E219" s="7" t="s">
        <v>22</v>
      </c>
      <c r="F219" s="7" t="s">
        <v>22</v>
      </c>
      <c r="G219" s="7" t="s">
        <v>22</v>
      </c>
      <c r="H219" s="7" t="s">
        <v>22</v>
      </c>
    </row>
    <row r="220" spans="1:8" x14ac:dyDescent="0.3">
      <c r="A220" s="5" t="s">
        <v>76</v>
      </c>
      <c r="B220" s="5" t="s">
        <v>44</v>
      </c>
      <c r="C220" s="5" t="s">
        <v>45</v>
      </c>
      <c r="D220" s="8" t="s">
        <v>22</v>
      </c>
      <c r="E220" s="8" t="s">
        <v>22</v>
      </c>
      <c r="F220" s="8" t="s">
        <v>22</v>
      </c>
      <c r="G220" s="8" t="s">
        <v>22</v>
      </c>
      <c r="H220" s="8" t="s">
        <v>22</v>
      </c>
    </row>
    <row r="221" spans="1:8" x14ac:dyDescent="0.3">
      <c r="A221" s="5" t="s">
        <v>76</v>
      </c>
      <c r="B221" s="5" t="s">
        <v>46</v>
      </c>
      <c r="C221" s="5" t="s">
        <v>47</v>
      </c>
      <c r="D221" s="7" t="s">
        <v>22</v>
      </c>
      <c r="E221" s="7" t="s">
        <v>22</v>
      </c>
      <c r="F221" s="7" t="s">
        <v>22</v>
      </c>
      <c r="G221" s="7" t="s">
        <v>22</v>
      </c>
      <c r="H221" s="7" t="s">
        <v>22</v>
      </c>
    </row>
    <row r="222" spans="1:8" x14ac:dyDescent="0.3">
      <c r="A222" s="5" t="s">
        <v>76</v>
      </c>
      <c r="B222" s="5" t="s">
        <v>48</v>
      </c>
      <c r="C222" s="5" t="s">
        <v>49</v>
      </c>
      <c r="D222" s="8" t="s">
        <v>22</v>
      </c>
      <c r="E222" s="8" t="s">
        <v>22</v>
      </c>
      <c r="F222" s="8" t="s">
        <v>22</v>
      </c>
      <c r="G222" s="8" t="s">
        <v>22</v>
      </c>
      <c r="H222" s="8" t="s">
        <v>22</v>
      </c>
    </row>
    <row r="223" spans="1:8" x14ac:dyDescent="0.3">
      <c r="A223" s="5" t="s">
        <v>76</v>
      </c>
      <c r="B223" s="5" t="s">
        <v>50</v>
      </c>
      <c r="C223" s="5" t="s">
        <v>51</v>
      </c>
      <c r="D223" s="7" t="s">
        <v>22</v>
      </c>
      <c r="E223" s="7" t="s">
        <v>22</v>
      </c>
      <c r="F223" s="7" t="s">
        <v>22</v>
      </c>
      <c r="G223" s="7" t="s">
        <v>22</v>
      </c>
      <c r="H223" s="7" t="s">
        <v>22</v>
      </c>
    </row>
    <row r="224" spans="1:8" x14ac:dyDescent="0.3">
      <c r="A224" s="5" t="s">
        <v>76</v>
      </c>
      <c r="B224" s="5" t="s">
        <v>52</v>
      </c>
      <c r="C224" s="5" t="s">
        <v>53</v>
      </c>
      <c r="D224" s="8" t="s">
        <v>22</v>
      </c>
      <c r="E224" s="8" t="s">
        <v>22</v>
      </c>
      <c r="F224" s="8" t="s">
        <v>22</v>
      </c>
      <c r="G224" s="8" t="s">
        <v>22</v>
      </c>
      <c r="H224" s="8" t="s">
        <v>22</v>
      </c>
    </row>
    <row r="225" spans="1:8" x14ac:dyDescent="0.3">
      <c r="A225" s="5" t="s">
        <v>76</v>
      </c>
      <c r="B225" s="5" t="s">
        <v>54</v>
      </c>
      <c r="C225" s="5" t="s">
        <v>55</v>
      </c>
      <c r="D225" s="7" t="s">
        <v>22</v>
      </c>
      <c r="E225" s="7" t="s">
        <v>22</v>
      </c>
      <c r="F225" s="7" t="s">
        <v>22</v>
      </c>
      <c r="G225" s="7" t="s">
        <v>22</v>
      </c>
      <c r="H225" s="7" t="s">
        <v>22</v>
      </c>
    </row>
    <row r="226" spans="1:8" x14ac:dyDescent="0.3">
      <c r="A226" s="5" t="s">
        <v>76</v>
      </c>
      <c r="B226" s="5" t="s">
        <v>56</v>
      </c>
      <c r="C226" s="5" t="s">
        <v>57</v>
      </c>
      <c r="D226" s="8" t="s">
        <v>22</v>
      </c>
      <c r="E226" s="8" t="s">
        <v>22</v>
      </c>
      <c r="F226" s="8" t="s">
        <v>22</v>
      </c>
      <c r="G226" s="8" t="s">
        <v>22</v>
      </c>
      <c r="H226" s="8" t="s">
        <v>22</v>
      </c>
    </row>
    <row r="227" spans="1:8" x14ac:dyDescent="0.3">
      <c r="A227" s="5" t="s">
        <v>77</v>
      </c>
      <c r="B227" s="5" t="s">
        <v>34</v>
      </c>
      <c r="C227" s="5" t="s">
        <v>35</v>
      </c>
      <c r="D227" s="7" t="s">
        <v>22</v>
      </c>
      <c r="E227" s="7" t="s">
        <v>22</v>
      </c>
      <c r="F227" s="7" t="s">
        <v>22</v>
      </c>
      <c r="G227" s="7" t="s">
        <v>22</v>
      </c>
      <c r="H227" s="7" t="s">
        <v>22</v>
      </c>
    </row>
    <row r="228" spans="1:8" x14ac:dyDescent="0.3">
      <c r="A228" s="5" t="s">
        <v>77</v>
      </c>
      <c r="B228" s="5" t="s">
        <v>36</v>
      </c>
      <c r="C228" s="5" t="s">
        <v>37</v>
      </c>
      <c r="D228" s="8" t="s">
        <v>22</v>
      </c>
      <c r="E228" s="8" t="s">
        <v>22</v>
      </c>
      <c r="F228" s="8" t="s">
        <v>22</v>
      </c>
      <c r="G228" s="8" t="s">
        <v>22</v>
      </c>
      <c r="H228" s="8" t="s">
        <v>22</v>
      </c>
    </row>
    <row r="229" spans="1:8" x14ac:dyDescent="0.3">
      <c r="A229" s="5" t="s">
        <v>77</v>
      </c>
      <c r="B229" s="5" t="s">
        <v>38</v>
      </c>
      <c r="C229" s="5" t="s">
        <v>39</v>
      </c>
      <c r="D229" s="7" t="s">
        <v>22</v>
      </c>
      <c r="E229" s="7" t="s">
        <v>22</v>
      </c>
      <c r="F229" s="7" t="s">
        <v>22</v>
      </c>
      <c r="G229" s="7" t="s">
        <v>22</v>
      </c>
      <c r="H229" s="7" t="s">
        <v>22</v>
      </c>
    </row>
    <row r="230" spans="1:8" x14ac:dyDescent="0.3">
      <c r="A230" s="5" t="s">
        <v>77</v>
      </c>
      <c r="B230" s="5" t="s">
        <v>40</v>
      </c>
      <c r="C230" s="5" t="s">
        <v>41</v>
      </c>
      <c r="D230" s="8" t="s">
        <v>22</v>
      </c>
      <c r="E230" s="8" t="s">
        <v>22</v>
      </c>
      <c r="F230" s="8" t="s">
        <v>22</v>
      </c>
      <c r="G230" s="8" t="s">
        <v>22</v>
      </c>
      <c r="H230" s="8" t="s">
        <v>22</v>
      </c>
    </row>
    <row r="231" spans="1:8" x14ac:dyDescent="0.3">
      <c r="A231" s="5" t="s">
        <v>77</v>
      </c>
      <c r="B231" s="5" t="s">
        <v>42</v>
      </c>
      <c r="C231" s="5" t="s">
        <v>43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</row>
    <row r="232" spans="1:8" x14ac:dyDescent="0.3">
      <c r="A232" s="5" t="s">
        <v>77</v>
      </c>
      <c r="B232" s="5" t="s">
        <v>44</v>
      </c>
      <c r="C232" s="5" t="s">
        <v>45</v>
      </c>
      <c r="D232" s="8" t="s">
        <v>22</v>
      </c>
      <c r="E232" s="8" t="s">
        <v>22</v>
      </c>
      <c r="F232" s="8" t="s">
        <v>22</v>
      </c>
      <c r="G232" s="8" t="s">
        <v>22</v>
      </c>
      <c r="H232" s="8" t="s">
        <v>22</v>
      </c>
    </row>
    <row r="233" spans="1:8" x14ac:dyDescent="0.3">
      <c r="A233" s="5" t="s">
        <v>77</v>
      </c>
      <c r="B233" s="5" t="s">
        <v>46</v>
      </c>
      <c r="C233" s="5" t="s">
        <v>47</v>
      </c>
      <c r="D233" s="7" t="s">
        <v>22</v>
      </c>
      <c r="E233" s="7" t="s">
        <v>22</v>
      </c>
      <c r="F233" s="7" t="s">
        <v>22</v>
      </c>
      <c r="G233" s="7" t="s">
        <v>22</v>
      </c>
      <c r="H233" s="7" t="s">
        <v>22</v>
      </c>
    </row>
    <row r="234" spans="1:8" x14ac:dyDescent="0.3">
      <c r="A234" s="5" t="s">
        <v>77</v>
      </c>
      <c r="B234" s="5" t="s">
        <v>48</v>
      </c>
      <c r="C234" s="5" t="s">
        <v>49</v>
      </c>
      <c r="D234" s="8" t="s">
        <v>22</v>
      </c>
      <c r="E234" s="8" t="s">
        <v>22</v>
      </c>
      <c r="F234" s="8" t="s">
        <v>22</v>
      </c>
      <c r="G234" s="8" t="s">
        <v>22</v>
      </c>
      <c r="H234" s="8" t="s">
        <v>22</v>
      </c>
    </row>
    <row r="235" spans="1:8" x14ac:dyDescent="0.3">
      <c r="A235" s="5" t="s">
        <v>77</v>
      </c>
      <c r="B235" s="5" t="s">
        <v>50</v>
      </c>
      <c r="C235" s="5" t="s">
        <v>51</v>
      </c>
      <c r="D235" s="7" t="s">
        <v>22</v>
      </c>
      <c r="E235" s="7" t="s">
        <v>22</v>
      </c>
      <c r="F235" s="7" t="s">
        <v>22</v>
      </c>
      <c r="G235" s="7" t="s">
        <v>22</v>
      </c>
      <c r="H235" s="7" t="s">
        <v>22</v>
      </c>
    </row>
    <row r="236" spans="1:8" x14ac:dyDescent="0.3">
      <c r="A236" s="5" t="s">
        <v>77</v>
      </c>
      <c r="B236" s="5" t="s">
        <v>52</v>
      </c>
      <c r="C236" s="5" t="s">
        <v>53</v>
      </c>
      <c r="D236" s="8" t="s">
        <v>22</v>
      </c>
      <c r="E236" s="8" t="s">
        <v>22</v>
      </c>
      <c r="F236" s="8" t="s">
        <v>22</v>
      </c>
      <c r="G236" s="8" t="s">
        <v>22</v>
      </c>
      <c r="H236" s="8" t="s">
        <v>22</v>
      </c>
    </row>
    <row r="237" spans="1:8" x14ac:dyDescent="0.3">
      <c r="A237" s="5" t="s">
        <v>77</v>
      </c>
      <c r="B237" s="5" t="s">
        <v>54</v>
      </c>
      <c r="C237" s="5" t="s">
        <v>55</v>
      </c>
      <c r="D237" s="7" t="s">
        <v>22</v>
      </c>
      <c r="E237" s="7" t="s">
        <v>22</v>
      </c>
      <c r="F237" s="7" t="s">
        <v>22</v>
      </c>
      <c r="G237" s="7" t="s">
        <v>22</v>
      </c>
      <c r="H237" s="7" t="s">
        <v>22</v>
      </c>
    </row>
    <row r="238" spans="1:8" x14ac:dyDescent="0.3">
      <c r="A238" s="5" t="s">
        <v>77</v>
      </c>
      <c r="B238" s="5" t="s">
        <v>56</v>
      </c>
      <c r="C238" s="5" t="s">
        <v>57</v>
      </c>
      <c r="D238" s="8" t="s">
        <v>22</v>
      </c>
      <c r="E238" s="8" t="s">
        <v>22</v>
      </c>
      <c r="F238" s="8" t="s">
        <v>22</v>
      </c>
      <c r="G238" s="8" t="s">
        <v>22</v>
      </c>
      <c r="H238" s="8" t="s">
        <v>22</v>
      </c>
    </row>
    <row r="239" spans="1:8" x14ac:dyDescent="0.3">
      <c r="A239" s="5" t="s">
        <v>78</v>
      </c>
      <c r="B239" s="5" t="s">
        <v>34</v>
      </c>
      <c r="C239" s="5" t="s">
        <v>35</v>
      </c>
      <c r="D239" s="7" t="s">
        <v>22</v>
      </c>
      <c r="E239" s="7" t="s">
        <v>22</v>
      </c>
      <c r="F239" s="7" t="s">
        <v>22</v>
      </c>
      <c r="G239" s="7" t="s">
        <v>22</v>
      </c>
      <c r="H239" s="7" t="s">
        <v>22</v>
      </c>
    </row>
    <row r="240" spans="1:8" x14ac:dyDescent="0.3">
      <c r="A240" s="5" t="s">
        <v>78</v>
      </c>
      <c r="B240" s="5" t="s">
        <v>36</v>
      </c>
      <c r="C240" s="5" t="s">
        <v>37</v>
      </c>
      <c r="D240" s="8" t="s">
        <v>22</v>
      </c>
      <c r="E240" s="8" t="s">
        <v>22</v>
      </c>
      <c r="F240" s="8" t="s">
        <v>22</v>
      </c>
      <c r="G240" s="8" t="s">
        <v>22</v>
      </c>
      <c r="H240" s="8" t="s">
        <v>22</v>
      </c>
    </row>
    <row r="241" spans="1:8" x14ac:dyDescent="0.3">
      <c r="A241" s="5" t="s">
        <v>78</v>
      </c>
      <c r="B241" s="5" t="s">
        <v>38</v>
      </c>
      <c r="C241" s="5" t="s">
        <v>39</v>
      </c>
      <c r="D241" s="7" t="s">
        <v>22</v>
      </c>
      <c r="E241" s="7" t="s">
        <v>22</v>
      </c>
      <c r="F241" s="7" t="s">
        <v>22</v>
      </c>
      <c r="G241" s="7" t="s">
        <v>22</v>
      </c>
      <c r="H241" s="7" t="s">
        <v>22</v>
      </c>
    </row>
    <row r="242" spans="1:8" x14ac:dyDescent="0.3">
      <c r="A242" s="5" t="s">
        <v>78</v>
      </c>
      <c r="B242" s="5" t="s">
        <v>40</v>
      </c>
      <c r="C242" s="5" t="s">
        <v>41</v>
      </c>
      <c r="D242" s="8" t="s">
        <v>22</v>
      </c>
      <c r="E242" s="8" t="s">
        <v>22</v>
      </c>
      <c r="F242" s="8" t="s">
        <v>22</v>
      </c>
      <c r="G242" s="8" t="s">
        <v>22</v>
      </c>
      <c r="H242" s="8" t="s">
        <v>22</v>
      </c>
    </row>
    <row r="243" spans="1:8" x14ac:dyDescent="0.3">
      <c r="A243" s="5" t="s">
        <v>78</v>
      </c>
      <c r="B243" s="5" t="s">
        <v>42</v>
      </c>
      <c r="C243" s="5" t="s">
        <v>43</v>
      </c>
      <c r="D243" s="7" t="s">
        <v>22</v>
      </c>
      <c r="E243" s="7" t="s">
        <v>22</v>
      </c>
      <c r="F243" s="7" t="s">
        <v>22</v>
      </c>
      <c r="G243" s="7" t="s">
        <v>22</v>
      </c>
      <c r="H243" s="7" t="s">
        <v>22</v>
      </c>
    </row>
    <row r="244" spans="1:8" x14ac:dyDescent="0.3">
      <c r="A244" s="5" t="s">
        <v>78</v>
      </c>
      <c r="B244" s="5" t="s">
        <v>44</v>
      </c>
      <c r="C244" s="5" t="s">
        <v>45</v>
      </c>
      <c r="D244" s="8" t="s">
        <v>22</v>
      </c>
      <c r="E244" s="8" t="s">
        <v>22</v>
      </c>
      <c r="F244" s="8" t="s">
        <v>22</v>
      </c>
      <c r="G244" s="8" t="s">
        <v>22</v>
      </c>
      <c r="H244" s="8" t="s">
        <v>22</v>
      </c>
    </row>
    <row r="245" spans="1:8" x14ac:dyDescent="0.3">
      <c r="A245" s="5" t="s">
        <v>78</v>
      </c>
      <c r="B245" s="5" t="s">
        <v>46</v>
      </c>
      <c r="C245" s="5" t="s">
        <v>47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</row>
    <row r="246" spans="1:8" x14ac:dyDescent="0.3">
      <c r="A246" s="5" t="s">
        <v>78</v>
      </c>
      <c r="B246" s="5" t="s">
        <v>48</v>
      </c>
      <c r="C246" s="5" t="s">
        <v>49</v>
      </c>
      <c r="D246" s="8" t="s">
        <v>22</v>
      </c>
      <c r="E246" s="8" t="s">
        <v>22</v>
      </c>
      <c r="F246" s="8" t="s">
        <v>22</v>
      </c>
      <c r="G246" s="8" t="s">
        <v>22</v>
      </c>
      <c r="H246" s="8" t="s">
        <v>22</v>
      </c>
    </row>
    <row r="247" spans="1:8" x14ac:dyDescent="0.3">
      <c r="A247" s="5" t="s">
        <v>78</v>
      </c>
      <c r="B247" s="5" t="s">
        <v>50</v>
      </c>
      <c r="C247" s="5" t="s">
        <v>51</v>
      </c>
      <c r="D247" s="7" t="s">
        <v>22</v>
      </c>
      <c r="E247" s="7" t="s">
        <v>22</v>
      </c>
      <c r="F247" s="7" t="s">
        <v>22</v>
      </c>
      <c r="G247" s="7" t="s">
        <v>22</v>
      </c>
      <c r="H247" s="7" t="s">
        <v>22</v>
      </c>
    </row>
    <row r="248" spans="1:8" x14ac:dyDescent="0.3">
      <c r="A248" s="5" t="s">
        <v>78</v>
      </c>
      <c r="B248" s="5" t="s">
        <v>52</v>
      </c>
      <c r="C248" s="5" t="s">
        <v>53</v>
      </c>
      <c r="D248" s="8" t="s">
        <v>22</v>
      </c>
      <c r="E248" s="8" t="s">
        <v>22</v>
      </c>
      <c r="F248" s="8" t="s">
        <v>22</v>
      </c>
      <c r="G248" s="8" t="s">
        <v>22</v>
      </c>
      <c r="H248" s="8" t="s">
        <v>22</v>
      </c>
    </row>
    <row r="249" spans="1:8" x14ac:dyDescent="0.3">
      <c r="A249" s="5" t="s">
        <v>78</v>
      </c>
      <c r="B249" s="5" t="s">
        <v>54</v>
      </c>
      <c r="C249" s="5" t="s">
        <v>55</v>
      </c>
      <c r="D249" s="7" t="s">
        <v>22</v>
      </c>
      <c r="E249" s="7" t="s">
        <v>22</v>
      </c>
      <c r="F249" s="7" t="s">
        <v>22</v>
      </c>
      <c r="G249" s="7" t="s">
        <v>22</v>
      </c>
      <c r="H249" s="7" t="s">
        <v>22</v>
      </c>
    </row>
    <row r="250" spans="1:8" x14ac:dyDescent="0.3">
      <c r="A250" s="5" t="s">
        <v>78</v>
      </c>
      <c r="B250" s="5" t="s">
        <v>56</v>
      </c>
      <c r="C250" s="5" t="s">
        <v>57</v>
      </c>
      <c r="D250" s="8" t="s">
        <v>22</v>
      </c>
      <c r="E250" s="8" t="s">
        <v>22</v>
      </c>
      <c r="F250" s="8" t="s">
        <v>22</v>
      </c>
      <c r="G250" s="8" t="s">
        <v>22</v>
      </c>
      <c r="H250" s="8" t="s">
        <v>22</v>
      </c>
    </row>
    <row r="251" spans="1:8" x14ac:dyDescent="0.3">
      <c r="A251" s="5" t="s">
        <v>79</v>
      </c>
      <c r="B251" s="5" t="s">
        <v>34</v>
      </c>
      <c r="C251" s="5" t="s">
        <v>35</v>
      </c>
      <c r="D251" s="7" t="s">
        <v>22</v>
      </c>
      <c r="E251" s="7" t="s">
        <v>22</v>
      </c>
      <c r="F251" s="7" t="s">
        <v>22</v>
      </c>
      <c r="G251" s="7" t="s">
        <v>22</v>
      </c>
      <c r="H251" s="7" t="s">
        <v>22</v>
      </c>
    </row>
    <row r="252" spans="1:8" x14ac:dyDescent="0.3">
      <c r="A252" s="5" t="s">
        <v>79</v>
      </c>
      <c r="B252" s="5" t="s">
        <v>36</v>
      </c>
      <c r="C252" s="5" t="s">
        <v>37</v>
      </c>
      <c r="D252" s="8" t="s">
        <v>22</v>
      </c>
      <c r="E252" s="8" t="s">
        <v>22</v>
      </c>
      <c r="F252" s="8" t="s">
        <v>22</v>
      </c>
      <c r="G252" s="8" t="s">
        <v>22</v>
      </c>
      <c r="H252" s="8" t="s">
        <v>22</v>
      </c>
    </row>
    <row r="253" spans="1:8" x14ac:dyDescent="0.3">
      <c r="A253" s="5" t="s">
        <v>79</v>
      </c>
      <c r="B253" s="5" t="s">
        <v>38</v>
      </c>
      <c r="C253" s="5" t="s">
        <v>39</v>
      </c>
      <c r="D253" s="7" t="s">
        <v>22</v>
      </c>
      <c r="E253" s="7" t="s">
        <v>22</v>
      </c>
      <c r="F253" s="7" t="s">
        <v>22</v>
      </c>
      <c r="G253" s="7" t="s">
        <v>22</v>
      </c>
      <c r="H253" s="7" t="s">
        <v>22</v>
      </c>
    </row>
    <row r="254" spans="1:8" x14ac:dyDescent="0.3">
      <c r="A254" s="5" t="s">
        <v>79</v>
      </c>
      <c r="B254" s="5" t="s">
        <v>40</v>
      </c>
      <c r="C254" s="5" t="s">
        <v>41</v>
      </c>
      <c r="D254" s="8" t="s">
        <v>22</v>
      </c>
      <c r="E254" s="8" t="s">
        <v>22</v>
      </c>
      <c r="F254" s="8" t="s">
        <v>22</v>
      </c>
      <c r="G254" s="8" t="s">
        <v>22</v>
      </c>
      <c r="H254" s="8" t="s">
        <v>22</v>
      </c>
    </row>
    <row r="255" spans="1:8" x14ac:dyDescent="0.3">
      <c r="A255" s="5" t="s">
        <v>79</v>
      </c>
      <c r="B255" s="5" t="s">
        <v>42</v>
      </c>
      <c r="C255" s="5" t="s">
        <v>43</v>
      </c>
      <c r="D255" s="7" t="s">
        <v>22</v>
      </c>
      <c r="E255" s="7" t="s">
        <v>22</v>
      </c>
      <c r="F255" s="7" t="s">
        <v>22</v>
      </c>
      <c r="G255" s="7" t="s">
        <v>22</v>
      </c>
      <c r="H255" s="7" t="s">
        <v>22</v>
      </c>
    </row>
    <row r="256" spans="1:8" x14ac:dyDescent="0.3">
      <c r="A256" s="5" t="s">
        <v>79</v>
      </c>
      <c r="B256" s="5" t="s">
        <v>44</v>
      </c>
      <c r="C256" s="5" t="s">
        <v>45</v>
      </c>
      <c r="D256" s="8" t="s">
        <v>22</v>
      </c>
      <c r="E256" s="8" t="s">
        <v>22</v>
      </c>
      <c r="F256" s="8" t="s">
        <v>22</v>
      </c>
      <c r="G256" s="8" t="s">
        <v>22</v>
      </c>
      <c r="H256" s="8" t="s">
        <v>22</v>
      </c>
    </row>
    <row r="257" spans="1:8" x14ac:dyDescent="0.3">
      <c r="A257" s="5" t="s">
        <v>79</v>
      </c>
      <c r="B257" s="5" t="s">
        <v>46</v>
      </c>
      <c r="C257" s="5" t="s">
        <v>47</v>
      </c>
      <c r="D257" s="7" t="s">
        <v>22</v>
      </c>
      <c r="E257" s="7" t="s">
        <v>22</v>
      </c>
      <c r="F257" s="7" t="s">
        <v>22</v>
      </c>
      <c r="G257" s="7" t="s">
        <v>22</v>
      </c>
      <c r="H257" s="7" t="s">
        <v>22</v>
      </c>
    </row>
    <row r="258" spans="1:8" x14ac:dyDescent="0.3">
      <c r="A258" s="5" t="s">
        <v>79</v>
      </c>
      <c r="B258" s="5" t="s">
        <v>48</v>
      </c>
      <c r="C258" s="5" t="s">
        <v>49</v>
      </c>
      <c r="D258" s="8" t="s">
        <v>22</v>
      </c>
      <c r="E258" s="8" t="s">
        <v>22</v>
      </c>
      <c r="F258" s="8" t="s">
        <v>22</v>
      </c>
      <c r="G258" s="8" t="s">
        <v>22</v>
      </c>
      <c r="H258" s="8" t="s">
        <v>22</v>
      </c>
    </row>
    <row r="259" spans="1:8" x14ac:dyDescent="0.3">
      <c r="A259" s="5" t="s">
        <v>79</v>
      </c>
      <c r="B259" s="5" t="s">
        <v>50</v>
      </c>
      <c r="C259" s="5" t="s">
        <v>51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</row>
    <row r="260" spans="1:8" x14ac:dyDescent="0.3">
      <c r="A260" s="5" t="s">
        <v>79</v>
      </c>
      <c r="B260" s="5" t="s">
        <v>52</v>
      </c>
      <c r="C260" s="5" t="s">
        <v>53</v>
      </c>
      <c r="D260" s="8" t="s">
        <v>22</v>
      </c>
      <c r="E260" s="8" t="s">
        <v>22</v>
      </c>
      <c r="F260" s="8" t="s">
        <v>22</v>
      </c>
      <c r="G260" s="8" t="s">
        <v>22</v>
      </c>
      <c r="H260" s="8" t="s">
        <v>22</v>
      </c>
    </row>
    <row r="261" spans="1:8" x14ac:dyDescent="0.3">
      <c r="A261" s="5" t="s">
        <v>79</v>
      </c>
      <c r="B261" s="5" t="s">
        <v>54</v>
      </c>
      <c r="C261" s="5" t="s">
        <v>55</v>
      </c>
      <c r="D261" s="7" t="s">
        <v>22</v>
      </c>
      <c r="E261" s="7" t="s">
        <v>22</v>
      </c>
      <c r="F261" s="7" t="s">
        <v>22</v>
      </c>
      <c r="G261" s="7" t="s">
        <v>22</v>
      </c>
      <c r="H261" s="7" t="s">
        <v>22</v>
      </c>
    </row>
    <row r="262" spans="1:8" x14ac:dyDescent="0.3">
      <c r="A262" s="5" t="s">
        <v>79</v>
      </c>
      <c r="B262" s="5" t="s">
        <v>56</v>
      </c>
      <c r="C262" s="5" t="s">
        <v>57</v>
      </c>
      <c r="D262" s="8" t="s">
        <v>22</v>
      </c>
      <c r="E262" s="8" t="s">
        <v>22</v>
      </c>
      <c r="F262" s="8" t="s">
        <v>22</v>
      </c>
      <c r="G262" s="8" t="s">
        <v>22</v>
      </c>
      <c r="H262" s="8" t="s">
        <v>22</v>
      </c>
    </row>
    <row r="263" spans="1:8" x14ac:dyDescent="0.3">
      <c r="A263" s="5" t="s">
        <v>80</v>
      </c>
      <c r="B263" s="5" t="s">
        <v>34</v>
      </c>
      <c r="C263" s="5" t="s">
        <v>35</v>
      </c>
      <c r="D263" s="7" t="s">
        <v>22</v>
      </c>
      <c r="E263" s="7" t="s">
        <v>22</v>
      </c>
      <c r="F263" s="7" t="s">
        <v>22</v>
      </c>
      <c r="G263" s="7" t="s">
        <v>22</v>
      </c>
      <c r="H263" s="7" t="s">
        <v>22</v>
      </c>
    </row>
    <row r="264" spans="1:8" x14ac:dyDescent="0.3">
      <c r="A264" s="5" t="s">
        <v>80</v>
      </c>
      <c r="B264" s="5" t="s">
        <v>36</v>
      </c>
      <c r="C264" s="5" t="s">
        <v>37</v>
      </c>
      <c r="D264" s="8" t="s">
        <v>22</v>
      </c>
      <c r="E264" s="8" t="s">
        <v>22</v>
      </c>
      <c r="F264" s="8" t="s">
        <v>22</v>
      </c>
      <c r="G264" s="8" t="s">
        <v>22</v>
      </c>
      <c r="H264" s="8" t="s">
        <v>22</v>
      </c>
    </row>
    <row r="265" spans="1:8" x14ac:dyDescent="0.3">
      <c r="A265" s="5" t="s">
        <v>80</v>
      </c>
      <c r="B265" s="5" t="s">
        <v>38</v>
      </c>
      <c r="C265" s="5" t="s">
        <v>39</v>
      </c>
      <c r="D265" s="7" t="s">
        <v>22</v>
      </c>
      <c r="E265" s="7" t="s">
        <v>22</v>
      </c>
      <c r="F265" s="7" t="s">
        <v>22</v>
      </c>
      <c r="G265" s="7" t="s">
        <v>22</v>
      </c>
      <c r="H265" s="7" t="s">
        <v>22</v>
      </c>
    </row>
    <row r="266" spans="1:8" x14ac:dyDescent="0.3">
      <c r="A266" s="5" t="s">
        <v>80</v>
      </c>
      <c r="B266" s="5" t="s">
        <v>40</v>
      </c>
      <c r="C266" s="5" t="s">
        <v>41</v>
      </c>
      <c r="D266" s="8" t="s">
        <v>22</v>
      </c>
      <c r="E266" s="8" t="s">
        <v>22</v>
      </c>
      <c r="F266" s="8" t="s">
        <v>22</v>
      </c>
      <c r="G266" s="8" t="s">
        <v>22</v>
      </c>
      <c r="H266" s="8" t="s">
        <v>22</v>
      </c>
    </row>
    <row r="267" spans="1:8" x14ac:dyDescent="0.3">
      <c r="A267" s="5" t="s">
        <v>80</v>
      </c>
      <c r="B267" s="5" t="s">
        <v>42</v>
      </c>
      <c r="C267" s="5" t="s">
        <v>43</v>
      </c>
      <c r="D267" s="7" t="s">
        <v>22</v>
      </c>
      <c r="E267" s="7" t="s">
        <v>22</v>
      </c>
      <c r="F267" s="7" t="s">
        <v>22</v>
      </c>
      <c r="G267" s="7" t="s">
        <v>22</v>
      </c>
      <c r="H267" s="7" t="s">
        <v>22</v>
      </c>
    </row>
    <row r="268" spans="1:8" x14ac:dyDescent="0.3">
      <c r="A268" s="5" t="s">
        <v>80</v>
      </c>
      <c r="B268" s="5" t="s">
        <v>44</v>
      </c>
      <c r="C268" s="5" t="s">
        <v>45</v>
      </c>
      <c r="D268" s="8" t="s">
        <v>22</v>
      </c>
      <c r="E268" s="8" t="s">
        <v>22</v>
      </c>
      <c r="F268" s="8" t="s">
        <v>22</v>
      </c>
      <c r="G268" s="8" t="s">
        <v>22</v>
      </c>
      <c r="H268" s="8" t="s">
        <v>22</v>
      </c>
    </row>
    <row r="269" spans="1:8" x14ac:dyDescent="0.3">
      <c r="A269" s="5" t="s">
        <v>80</v>
      </c>
      <c r="B269" s="5" t="s">
        <v>46</v>
      </c>
      <c r="C269" s="5" t="s">
        <v>47</v>
      </c>
      <c r="D269" s="7" t="s">
        <v>22</v>
      </c>
      <c r="E269" s="7" t="s">
        <v>22</v>
      </c>
      <c r="F269" s="7" t="s">
        <v>22</v>
      </c>
      <c r="G269" s="7" t="s">
        <v>22</v>
      </c>
      <c r="H269" s="7" t="s">
        <v>22</v>
      </c>
    </row>
    <row r="270" spans="1:8" x14ac:dyDescent="0.3">
      <c r="A270" s="5" t="s">
        <v>80</v>
      </c>
      <c r="B270" s="5" t="s">
        <v>48</v>
      </c>
      <c r="C270" s="5" t="s">
        <v>49</v>
      </c>
      <c r="D270" s="8" t="s">
        <v>22</v>
      </c>
      <c r="E270" s="8" t="s">
        <v>22</v>
      </c>
      <c r="F270" s="8" t="s">
        <v>22</v>
      </c>
      <c r="G270" s="8" t="s">
        <v>22</v>
      </c>
      <c r="H270" s="8" t="s">
        <v>22</v>
      </c>
    </row>
    <row r="271" spans="1:8" x14ac:dyDescent="0.3">
      <c r="A271" s="5" t="s">
        <v>80</v>
      </c>
      <c r="B271" s="5" t="s">
        <v>50</v>
      </c>
      <c r="C271" s="5" t="s">
        <v>51</v>
      </c>
      <c r="D271" s="7" t="s">
        <v>22</v>
      </c>
      <c r="E271" s="7" t="s">
        <v>22</v>
      </c>
      <c r="F271" s="7" t="s">
        <v>22</v>
      </c>
      <c r="G271" s="7" t="s">
        <v>22</v>
      </c>
      <c r="H271" s="7" t="s">
        <v>22</v>
      </c>
    </row>
    <row r="272" spans="1:8" x14ac:dyDescent="0.3">
      <c r="A272" s="5" t="s">
        <v>80</v>
      </c>
      <c r="B272" s="5" t="s">
        <v>52</v>
      </c>
      <c r="C272" s="5" t="s">
        <v>53</v>
      </c>
      <c r="D272" s="8" t="s">
        <v>22</v>
      </c>
      <c r="E272" s="8" t="s">
        <v>22</v>
      </c>
      <c r="F272" s="8" t="s">
        <v>22</v>
      </c>
      <c r="G272" s="8" t="s">
        <v>22</v>
      </c>
      <c r="H272" s="8" t="s">
        <v>22</v>
      </c>
    </row>
    <row r="273" spans="1:8" x14ac:dyDescent="0.3">
      <c r="A273" s="5" t="s">
        <v>80</v>
      </c>
      <c r="B273" s="5" t="s">
        <v>54</v>
      </c>
      <c r="C273" s="5" t="s">
        <v>55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</row>
    <row r="274" spans="1:8" x14ac:dyDescent="0.3">
      <c r="A274" s="5" t="s">
        <v>80</v>
      </c>
      <c r="B274" s="5" t="s">
        <v>56</v>
      </c>
      <c r="C274" s="5" t="s">
        <v>57</v>
      </c>
      <c r="D274" s="8" t="s">
        <v>22</v>
      </c>
      <c r="E274" s="8" t="s">
        <v>22</v>
      </c>
      <c r="F274" s="8" t="s">
        <v>22</v>
      </c>
      <c r="G274" s="8" t="s">
        <v>22</v>
      </c>
      <c r="H274" s="8" t="s">
        <v>22</v>
      </c>
    </row>
    <row r="275" spans="1:8" x14ac:dyDescent="0.3">
      <c r="A275" s="5" t="s">
        <v>81</v>
      </c>
      <c r="B275" s="5" t="s">
        <v>34</v>
      </c>
      <c r="C275" s="5" t="s">
        <v>35</v>
      </c>
      <c r="D275" s="7" t="s">
        <v>22</v>
      </c>
      <c r="E275" s="7" t="s">
        <v>22</v>
      </c>
      <c r="F275" s="7" t="s">
        <v>22</v>
      </c>
      <c r="G275" s="7" t="s">
        <v>22</v>
      </c>
      <c r="H275" s="7" t="s">
        <v>22</v>
      </c>
    </row>
    <row r="276" spans="1:8" x14ac:dyDescent="0.3">
      <c r="A276" s="5" t="s">
        <v>81</v>
      </c>
      <c r="B276" s="5" t="s">
        <v>36</v>
      </c>
      <c r="C276" s="5" t="s">
        <v>37</v>
      </c>
      <c r="D276" s="8" t="s">
        <v>22</v>
      </c>
      <c r="E276" s="8" t="s">
        <v>22</v>
      </c>
      <c r="F276" s="8" t="s">
        <v>22</v>
      </c>
      <c r="G276" s="8" t="s">
        <v>22</v>
      </c>
      <c r="H276" s="8" t="s">
        <v>22</v>
      </c>
    </row>
    <row r="277" spans="1:8" x14ac:dyDescent="0.3">
      <c r="A277" s="5" t="s">
        <v>81</v>
      </c>
      <c r="B277" s="5" t="s">
        <v>38</v>
      </c>
      <c r="C277" s="5" t="s">
        <v>39</v>
      </c>
      <c r="D277" s="7" t="s">
        <v>22</v>
      </c>
      <c r="E277" s="7" t="s">
        <v>22</v>
      </c>
      <c r="F277" s="7" t="s">
        <v>22</v>
      </c>
      <c r="G277" s="7" t="s">
        <v>22</v>
      </c>
      <c r="H277" s="7" t="s">
        <v>22</v>
      </c>
    </row>
    <row r="278" spans="1:8" x14ac:dyDescent="0.3">
      <c r="A278" s="5" t="s">
        <v>81</v>
      </c>
      <c r="B278" s="5" t="s">
        <v>40</v>
      </c>
      <c r="C278" s="5" t="s">
        <v>41</v>
      </c>
      <c r="D278" s="8" t="s">
        <v>22</v>
      </c>
      <c r="E278" s="8" t="s">
        <v>22</v>
      </c>
      <c r="F278" s="8" t="s">
        <v>22</v>
      </c>
      <c r="G278" s="8" t="s">
        <v>22</v>
      </c>
      <c r="H278" s="8" t="s">
        <v>22</v>
      </c>
    </row>
    <row r="279" spans="1:8" x14ac:dyDescent="0.3">
      <c r="A279" s="5" t="s">
        <v>81</v>
      </c>
      <c r="B279" s="5" t="s">
        <v>42</v>
      </c>
      <c r="C279" s="5" t="s">
        <v>43</v>
      </c>
      <c r="D279" s="7" t="s">
        <v>22</v>
      </c>
      <c r="E279" s="7" t="s">
        <v>22</v>
      </c>
      <c r="F279" s="7" t="s">
        <v>22</v>
      </c>
      <c r="G279" s="7" t="s">
        <v>22</v>
      </c>
      <c r="H279" s="7" t="s">
        <v>22</v>
      </c>
    </row>
    <row r="280" spans="1:8" x14ac:dyDescent="0.3">
      <c r="A280" s="5" t="s">
        <v>81</v>
      </c>
      <c r="B280" s="5" t="s">
        <v>44</v>
      </c>
      <c r="C280" s="5" t="s">
        <v>45</v>
      </c>
      <c r="D280" s="8" t="s">
        <v>22</v>
      </c>
      <c r="E280" s="8" t="s">
        <v>22</v>
      </c>
      <c r="F280" s="8" t="s">
        <v>22</v>
      </c>
      <c r="G280" s="8" t="s">
        <v>22</v>
      </c>
      <c r="H280" s="8" t="s">
        <v>22</v>
      </c>
    </row>
    <row r="281" spans="1:8" x14ac:dyDescent="0.3">
      <c r="A281" s="5" t="s">
        <v>81</v>
      </c>
      <c r="B281" s="5" t="s">
        <v>46</v>
      </c>
      <c r="C281" s="5" t="s">
        <v>47</v>
      </c>
      <c r="D281" s="7" t="s">
        <v>22</v>
      </c>
      <c r="E281" s="7" t="s">
        <v>22</v>
      </c>
      <c r="F281" s="7" t="s">
        <v>22</v>
      </c>
      <c r="G281" s="7" t="s">
        <v>22</v>
      </c>
      <c r="H281" s="7" t="s">
        <v>22</v>
      </c>
    </row>
    <row r="282" spans="1:8" x14ac:dyDescent="0.3">
      <c r="A282" s="5" t="s">
        <v>81</v>
      </c>
      <c r="B282" s="5" t="s">
        <v>48</v>
      </c>
      <c r="C282" s="5" t="s">
        <v>49</v>
      </c>
      <c r="D282" s="8" t="s">
        <v>22</v>
      </c>
      <c r="E282" s="8" t="s">
        <v>22</v>
      </c>
      <c r="F282" s="8" t="s">
        <v>22</v>
      </c>
      <c r="G282" s="8" t="s">
        <v>22</v>
      </c>
      <c r="H282" s="8" t="s">
        <v>22</v>
      </c>
    </row>
    <row r="283" spans="1:8" x14ac:dyDescent="0.3">
      <c r="A283" s="5" t="s">
        <v>81</v>
      </c>
      <c r="B283" s="5" t="s">
        <v>50</v>
      </c>
      <c r="C283" s="5" t="s">
        <v>51</v>
      </c>
      <c r="D283" s="7" t="s">
        <v>22</v>
      </c>
      <c r="E283" s="7" t="s">
        <v>22</v>
      </c>
      <c r="F283" s="7" t="s">
        <v>22</v>
      </c>
      <c r="G283" s="7" t="s">
        <v>22</v>
      </c>
      <c r="H283" s="7" t="s">
        <v>22</v>
      </c>
    </row>
    <row r="284" spans="1:8" x14ac:dyDescent="0.3">
      <c r="A284" s="5" t="s">
        <v>81</v>
      </c>
      <c r="B284" s="5" t="s">
        <v>52</v>
      </c>
      <c r="C284" s="5" t="s">
        <v>53</v>
      </c>
      <c r="D284" s="8" t="s">
        <v>22</v>
      </c>
      <c r="E284" s="8" t="s">
        <v>22</v>
      </c>
      <c r="F284" s="8" t="s">
        <v>22</v>
      </c>
      <c r="G284" s="8" t="s">
        <v>22</v>
      </c>
      <c r="H284" s="8" t="s">
        <v>22</v>
      </c>
    </row>
    <row r="285" spans="1:8" x14ac:dyDescent="0.3">
      <c r="A285" s="5" t="s">
        <v>81</v>
      </c>
      <c r="B285" s="5" t="s">
        <v>54</v>
      </c>
      <c r="C285" s="5" t="s">
        <v>55</v>
      </c>
      <c r="D285" s="7" t="s">
        <v>22</v>
      </c>
      <c r="E285" s="7" t="s">
        <v>22</v>
      </c>
      <c r="F285" s="7" t="s">
        <v>22</v>
      </c>
      <c r="G285" s="7" t="s">
        <v>22</v>
      </c>
      <c r="H285" s="7" t="s">
        <v>22</v>
      </c>
    </row>
    <row r="286" spans="1:8" x14ac:dyDescent="0.3">
      <c r="A286" s="5" t="s">
        <v>81</v>
      </c>
      <c r="B286" s="5" t="s">
        <v>56</v>
      </c>
      <c r="C286" s="5" t="s">
        <v>57</v>
      </c>
      <c r="D286" s="8" t="s">
        <v>22</v>
      </c>
      <c r="E286" s="8" t="s">
        <v>22</v>
      </c>
      <c r="F286" s="8" t="s">
        <v>22</v>
      </c>
      <c r="G286" s="8" t="s">
        <v>22</v>
      </c>
      <c r="H286" s="8" t="s">
        <v>22</v>
      </c>
    </row>
    <row r="287" spans="1:8" x14ac:dyDescent="0.3">
      <c r="A287" s="5" t="s">
        <v>82</v>
      </c>
      <c r="B287" s="5" t="s">
        <v>34</v>
      </c>
      <c r="C287" s="5" t="s">
        <v>35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</row>
    <row r="288" spans="1:8" x14ac:dyDescent="0.3">
      <c r="A288" s="5" t="s">
        <v>82</v>
      </c>
      <c r="B288" s="5" t="s">
        <v>36</v>
      </c>
      <c r="C288" s="5" t="s">
        <v>37</v>
      </c>
      <c r="D288" s="8" t="s">
        <v>22</v>
      </c>
      <c r="E288" s="8" t="s">
        <v>22</v>
      </c>
      <c r="F288" s="8" t="s">
        <v>22</v>
      </c>
      <c r="G288" s="8" t="s">
        <v>22</v>
      </c>
      <c r="H288" s="8" t="s">
        <v>22</v>
      </c>
    </row>
    <row r="289" spans="1:8" x14ac:dyDescent="0.3">
      <c r="A289" s="5" t="s">
        <v>82</v>
      </c>
      <c r="B289" s="5" t="s">
        <v>38</v>
      </c>
      <c r="C289" s="5" t="s">
        <v>39</v>
      </c>
      <c r="D289" s="7" t="s">
        <v>22</v>
      </c>
      <c r="E289" s="7" t="s">
        <v>22</v>
      </c>
      <c r="F289" s="7" t="s">
        <v>22</v>
      </c>
      <c r="G289" s="7" t="s">
        <v>22</v>
      </c>
      <c r="H289" s="7" t="s">
        <v>22</v>
      </c>
    </row>
    <row r="290" spans="1:8" x14ac:dyDescent="0.3">
      <c r="A290" s="5" t="s">
        <v>82</v>
      </c>
      <c r="B290" s="5" t="s">
        <v>40</v>
      </c>
      <c r="C290" s="5" t="s">
        <v>41</v>
      </c>
      <c r="D290" s="8" t="s">
        <v>22</v>
      </c>
      <c r="E290" s="8" t="s">
        <v>22</v>
      </c>
      <c r="F290" s="8" t="s">
        <v>22</v>
      </c>
      <c r="G290" s="8" t="s">
        <v>22</v>
      </c>
      <c r="H290" s="8" t="s">
        <v>22</v>
      </c>
    </row>
    <row r="291" spans="1:8" x14ac:dyDescent="0.3">
      <c r="A291" s="5" t="s">
        <v>82</v>
      </c>
      <c r="B291" s="5" t="s">
        <v>42</v>
      </c>
      <c r="C291" s="5" t="s">
        <v>43</v>
      </c>
      <c r="D291" s="7" t="s">
        <v>22</v>
      </c>
      <c r="E291" s="7" t="s">
        <v>22</v>
      </c>
      <c r="F291" s="7" t="s">
        <v>22</v>
      </c>
      <c r="G291" s="7" t="s">
        <v>22</v>
      </c>
      <c r="H291" s="7" t="s">
        <v>22</v>
      </c>
    </row>
    <row r="292" spans="1:8" x14ac:dyDescent="0.3">
      <c r="A292" s="5" t="s">
        <v>82</v>
      </c>
      <c r="B292" s="5" t="s">
        <v>44</v>
      </c>
      <c r="C292" s="5" t="s">
        <v>45</v>
      </c>
      <c r="D292" s="8" t="s">
        <v>22</v>
      </c>
      <c r="E292" s="8" t="s">
        <v>22</v>
      </c>
      <c r="F292" s="8" t="s">
        <v>22</v>
      </c>
      <c r="G292" s="8" t="s">
        <v>22</v>
      </c>
      <c r="H292" s="8" t="s">
        <v>22</v>
      </c>
    </row>
    <row r="293" spans="1:8" x14ac:dyDescent="0.3">
      <c r="A293" s="5" t="s">
        <v>82</v>
      </c>
      <c r="B293" s="5" t="s">
        <v>46</v>
      </c>
      <c r="C293" s="5" t="s">
        <v>47</v>
      </c>
      <c r="D293" s="7" t="s">
        <v>22</v>
      </c>
      <c r="E293" s="7" t="s">
        <v>22</v>
      </c>
      <c r="F293" s="7" t="s">
        <v>22</v>
      </c>
      <c r="G293" s="7" t="s">
        <v>22</v>
      </c>
      <c r="H293" s="7" t="s">
        <v>22</v>
      </c>
    </row>
    <row r="294" spans="1:8" x14ac:dyDescent="0.3">
      <c r="A294" s="5" t="s">
        <v>82</v>
      </c>
      <c r="B294" s="5" t="s">
        <v>48</v>
      </c>
      <c r="C294" s="5" t="s">
        <v>49</v>
      </c>
      <c r="D294" s="8" t="s">
        <v>22</v>
      </c>
      <c r="E294" s="8" t="s">
        <v>22</v>
      </c>
      <c r="F294" s="8" t="s">
        <v>22</v>
      </c>
      <c r="G294" s="8" t="s">
        <v>22</v>
      </c>
      <c r="H294" s="8" t="s">
        <v>22</v>
      </c>
    </row>
    <row r="295" spans="1:8" x14ac:dyDescent="0.3">
      <c r="A295" s="5" t="s">
        <v>82</v>
      </c>
      <c r="B295" s="5" t="s">
        <v>50</v>
      </c>
      <c r="C295" s="5" t="s">
        <v>51</v>
      </c>
      <c r="D295" s="7" t="s">
        <v>22</v>
      </c>
      <c r="E295" s="7" t="s">
        <v>22</v>
      </c>
      <c r="F295" s="7" t="s">
        <v>22</v>
      </c>
      <c r="G295" s="7" t="s">
        <v>22</v>
      </c>
      <c r="H295" s="7" t="s">
        <v>22</v>
      </c>
    </row>
    <row r="296" spans="1:8" x14ac:dyDescent="0.3">
      <c r="A296" s="5" t="s">
        <v>82</v>
      </c>
      <c r="B296" s="5" t="s">
        <v>52</v>
      </c>
      <c r="C296" s="5" t="s">
        <v>53</v>
      </c>
      <c r="D296" s="8" t="s">
        <v>22</v>
      </c>
      <c r="E296" s="8" t="s">
        <v>22</v>
      </c>
      <c r="F296" s="8" t="s">
        <v>22</v>
      </c>
      <c r="G296" s="8" t="s">
        <v>22</v>
      </c>
      <c r="H296" s="8" t="s">
        <v>22</v>
      </c>
    </row>
    <row r="297" spans="1:8" x14ac:dyDescent="0.3">
      <c r="A297" s="5" t="s">
        <v>82</v>
      </c>
      <c r="B297" s="5" t="s">
        <v>54</v>
      </c>
      <c r="C297" s="5" t="s">
        <v>55</v>
      </c>
      <c r="D297" s="7" t="s">
        <v>22</v>
      </c>
      <c r="E297" s="7" t="s">
        <v>22</v>
      </c>
      <c r="F297" s="7" t="s">
        <v>22</v>
      </c>
      <c r="G297" s="7" t="s">
        <v>22</v>
      </c>
      <c r="H297" s="7" t="s">
        <v>22</v>
      </c>
    </row>
    <row r="298" spans="1:8" x14ac:dyDescent="0.3">
      <c r="A298" s="5" t="s">
        <v>82</v>
      </c>
      <c r="B298" s="5" t="s">
        <v>56</v>
      </c>
      <c r="C298" s="5" t="s">
        <v>57</v>
      </c>
      <c r="D298" s="8" t="s">
        <v>22</v>
      </c>
      <c r="E298" s="8" t="s">
        <v>22</v>
      </c>
      <c r="F298" s="8" t="s">
        <v>22</v>
      </c>
      <c r="G298" s="8" t="s">
        <v>22</v>
      </c>
      <c r="H298" s="8" t="s">
        <v>22</v>
      </c>
    </row>
    <row r="299" spans="1:8" x14ac:dyDescent="0.3">
      <c r="A299" s="5" t="s">
        <v>83</v>
      </c>
      <c r="B299" s="5" t="s">
        <v>34</v>
      </c>
      <c r="C299" s="5" t="s">
        <v>35</v>
      </c>
      <c r="D299" s="7" t="s">
        <v>22</v>
      </c>
      <c r="E299" s="7" t="s">
        <v>22</v>
      </c>
      <c r="F299" s="7" t="s">
        <v>22</v>
      </c>
      <c r="G299" s="7" t="s">
        <v>22</v>
      </c>
      <c r="H299" s="7" t="s">
        <v>22</v>
      </c>
    </row>
    <row r="300" spans="1:8" x14ac:dyDescent="0.3">
      <c r="A300" s="5" t="s">
        <v>83</v>
      </c>
      <c r="B300" s="5" t="s">
        <v>36</v>
      </c>
      <c r="C300" s="5" t="s">
        <v>37</v>
      </c>
      <c r="D300" s="8" t="s">
        <v>22</v>
      </c>
      <c r="E300" s="8" t="s">
        <v>22</v>
      </c>
      <c r="F300" s="8" t="s">
        <v>22</v>
      </c>
      <c r="G300" s="8" t="s">
        <v>22</v>
      </c>
      <c r="H300" s="8" t="s">
        <v>22</v>
      </c>
    </row>
    <row r="301" spans="1:8" x14ac:dyDescent="0.3">
      <c r="A301" s="5" t="s">
        <v>83</v>
      </c>
      <c r="B301" s="5" t="s">
        <v>38</v>
      </c>
      <c r="C301" s="5" t="s">
        <v>39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</row>
    <row r="302" spans="1:8" x14ac:dyDescent="0.3">
      <c r="A302" s="5" t="s">
        <v>83</v>
      </c>
      <c r="B302" s="5" t="s">
        <v>40</v>
      </c>
      <c r="C302" s="5" t="s">
        <v>41</v>
      </c>
      <c r="D302" s="8" t="s">
        <v>22</v>
      </c>
      <c r="E302" s="8" t="s">
        <v>22</v>
      </c>
      <c r="F302" s="8" t="s">
        <v>22</v>
      </c>
      <c r="G302" s="8" t="s">
        <v>22</v>
      </c>
      <c r="H302" s="8" t="s">
        <v>22</v>
      </c>
    </row>
    <row r="303" spans="1:8" x14ac:dyDescent="0.3">
      <c r="A303" s="5" t="s">
        <v>83</v>
      </c>
      <c r="B303" s="5" t="s">
        <v>42</v>
      </c>
      <c r="C303" s="5" t="s">
        <v>43</v>
      </c>
      <c r="D303" s="7" t="s">
        <v>22</v>
      </c>
      <c r="E303" s="7" t="s">
        <v>22</v>
      </c>
      <c r="F303" s="7" t="s">
        <v>22</v>
      </c>
      <c r="G303" s="7" t="s">
        <v>22</v>
      </c>
      <c r="H303" s="7" t="s">
        <v>22</v>
      </c>
    </row>
    <row r="304" spans="1:8" x14ac:dyDescent="0.3">
      <c r="A304" s="5" t="s">
        <v>83</v>
      </c>
      <c r="B304" s="5" t="s">
        <v>44</v>
      </c>
      <c r="C304" s="5" t="s">
        <v>45</v>
      </c>
      <c r="D304" s="8" t="s">
        <v>22</v>
      </c>
      <c r="E304" s="8" t="s">
        <v>22</v>
      </c>
      <c r="F304" s="8" t="s">
        <v>22</v>
      </c>
      <c r="G304" s="8" t="s">
        <v>22</v>
      </c>
      <c r="H304" s="8" t="s">
        <v>22</v>
      </c>
    </row>
    <row r="305" spans="1:8" x14ac:dyDescent="0.3">
      <c r="A305" s="5" t="s">
        <v>83</v>
      </c>
      <c r="B305" s="5" t="s">
        <v>46</v>
      </c>
      <c r="C305" s="5" t="s">
        <v>47</v>
      </c>
      <c r="D305" s="7" t="s">
        <v>22</v>
      </c>
      <c r="E305" s="7" t="s">
        <v>22</v>
      </c>
      <c r="F305" s="7" t="s">
        <v>22</v>
      </c>
      <c r="G305" s="7" t="s">
        <v>22</v>
      </c>
      <c r="H305" s="7" t="s">
        <v>22</v>
      </c>
    </row>
    <row r="306" spans="1:8" x14ac:dyDescent="0.3">
      <c r="A306" s="5" t="s">
        <v>83</v>
      </c>
      <c r="B306" s="5" t="s">
        <v>48</v>
      </c>
      <c r="C306" s="5" t="s">
        <v>49</v>
      </c>
      <c r="D306" s="8" t="s">
        <v>22</v>
      </c>
      <c r="E306" s="8" t="s">
        <v>22</v>
      </c>
      <c r="F306" s="8" t="s">
        <v>22</v>
      </c>
      <c r="G306" s="8" t="s">
        <v>22</v>
      </c>
      <c r="H306" s="8" t="s">
        <v>22</v>
      </c>
    </row>
    <row r="307" spans="1:8" x14ac:dyDescent="0.3">
      <c r="A307" s="5" t="s">
        <v>83</v>
      </c>
      <c r="B307" s="5" t="s">
        <v>50</v>
      </c>
      <c r="C307" s="5" t="s">
        <v>51</v>
      </c>
      <c r="D307" s="7" t="s">
        <v>22</v>
      </c>
      <c r="E307" s="7" t="s">
        <v>22</v>
      </c>
      <c r="F307" s="7" t="s">
        <v>22</v>
      </c>
      <c r="G307" s="7" t="s">
        <v>22</v>
      </c>
      <c r="H307" s="7" t="s">
        <v>22</v>
      </c>
    </row>
    <row r="308" spans="1:8" x14ac:dyDescent="0.3">
      <c r="A308" s="5" t="s">
        <v>83</v>
      </c>
      <c r="B308" s="5" t="s">
        <v>52</v>
      </c>
      <c r="C308" s="5" t="s">
        <v>53</v>
      </c>
      <c r="D308" s="8" t="s">
        <v>22</v>
      </c>
      <c r="E308" s="8" t="s">
        <v>22</v>
      </c>
      <c r="F308" s="8" t="s">
        <v>22</v>
      </c>
      <c r="G308" s="8" t="s">
        <v>22</v>
      </c>
      <c r="H308" s="8" t="s">
        <v>22</v>
      </c>
    </row>
    <row r="309" spans="1:8" x14ac:dyDescent="0.3">
      <c r="A309" s="5" t="s">
        <v>83</v>
      </c>
      <c r="B309" s="5" t="s">
        <v>54</v>
      </c>
      <c r="C309" s="5" t="s">
        <v>55</v>
      </c>
      <c r="D309" s="7" t="s">
        <v>22</v>
      </c>
      <c r="E309" s="7" t="s">
        <v>22</v>
      </c>
      <c r="F309" s="7" t="s">
        <v>22</v>
      </c>
      <c r="G309" s="7" t="s">
        <v>22</v>
      </c>
      <c r="H309" s="7" t="s">
        <v>22</v>
      </c>
    </row>
    <row r="310" spans="1:8" x14ac:dyDescent="0.3">
      <c r="A310" s="5" t="s">
        <v>83</v>
      </c>
      <c r="B310" s="5" t="s">
        <v>56</v>
      </c>
      <c r="C310" s="5" t="s">
        <v>57</v>
      </c>
      <c r="D310" s="8" t="s">
        <v>22</v>
      </c>
      <c r="E310" s="8" t="s">
        <v>22</v>
      </c>
      <c r="F310" s="8" t="s">
        <v>22</v>
      </c>
      <c r="G310" s="8" t="s">
        <v>22</v>
      </c>
      <c r="H310" s="8" t="s">
        <v>22</v>
      </c>
    </row>
    <row r="311" spans="1:8" x14ac:dyDescent="0.3">
      <c r="A311" s="5" t="s">
        <v>84</v>
      </c>
      <c r="B311" s="5" t="s">
        <v>34</v>
      </c>
      <c r="C311" s="5" t="s">
        <v>35</v>
      </c>
      <c r="D311" s="7" t="s">
        <v>22</v>
      </c>
      <c r="E311" s="7" t="s">
        <v>22</v>
      </c>
      <c r="F311" s="7" t="s">
        <v>22</v>
      </c>
      <c r="G311" s="7" t="s">
        <v>22</v>
      </c>
      <c r="H311" s="7" t="s">
        <v>22</v>
      </c>
    </row>
    <row r="312" spans="1:8" x14ac:dyDescent="0.3">
      <c r="A312" s="5" t="s">
        <v>84</v>
      </c>
      <c r="B312" s="5" t="s">
        <v>36</v>
      </c>
      <c r="C312" s="5" t="s">
        <v>37</v>
      </c>
      <c r="D312" s="8" t="s">
        <v>22</v>
      </c>
      <c r="E312" s="8" t="s">
        <v>22</v>
      </c>
      <c r="F312" s="8" t="s">
        <v>22</v>
      </c>
      <c r="G312" s="8" t="s">
        <v>22</v>
      </c>
      <c r="H312" s="8" t="s">
        <v>22</v>
      </c>
    </row>
    <row r="313" spans="1:8" x14ac:dyDescent="0.3">
      <c r="A313" s="5" t="s">
        <v>84</v>
      </c>
      <c r="B313" s="5" t="s">
        <v>38</v>
      </c>
      <c r="C313" s="5" t="s">
        <v>39</v>
      </c>
      <c r="D313" s="7" t="s">
        <v>22</v>
      </c>
      <c r="E313" s="7" t="s">
        <v>22</v>
      </c>
      <c r="F313" s="7" t="s">
        <v>22</v>
      </c>
      <c r="G313" s="7" t="s">
        <v>22</v>
      </c>
      <c r="H313" s="7" t="s">
        <v>22</v>
      </c>
    </row>
    <row r="314" spans="1:8" x14ac:dyDescent="0.3">
      <c r="A314" s="5" t="s">
        <v>84</v>
      </c>
      <c r="B314" s="5" t="s">
        <v>40</v>
      </c>
      <c r="C314" s="5" t="s">
        <v>41</v>
      </c>
      <c r="D314" s="8" t="s">
        <v>22</v>
      </c>
      <c r="E314" s="8" t="s">
        <v>22</v>
      </c>
      <c r="F314" s="8" t="s">
        <v>22</v>
      </c>
      <c r="G314" s="8" t="s">
        <v>22</v>
      </c>
      <c r="H314" s="8" t="s">
        <v>22</v>
      </c>
    </row>
    <row r="315" spans="1:8" x14ac:dyDescent="0.3">
      <c r="A315" s="5" t="s">
        <v>84</v>
      </c>
      <c r="B315" s="5" t="s">
        <v>42</v>
      </c>
      <c r="C315" s="5" t="s">
        <v>43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</row>
    <row r="316" spans="1:8" x14ac:dyDescent="0.3">
      <c r="A316" s="5" t="s">
        <v>84</v>
      </c>
      <c r="B316" s="5" t="s">
        <v>44</v>
      </c>
      <c r="C316" s="5" t="s">
        <v>45</v>
      </c>
      <c r="D316" s="8" t="s">
        <v>22</v>
      </c>
      <c r="E316" s="8" t="s">
        <v>22</v>
      </c>
      <c r="F316" s="8" t="s">
        <v>22</v>
      </c>
      <c r="G316" s="8" t="s">
        <v>22</v>
      </c>
      <c r="H316" s="8" t="s">
        <v>22</v>
      </c>
    </row>
    <row r="317" spans="1:8" x14ac:dyDescent="0.3">
      <c r="A317" s="5" t="s">
        <v>84</v>
      </c>
      <c r="B317" s="5" t="s">
        <v>46</v>
      </c>
      <c r="C317" s="5" t="s">
        <v>47</v>
      </c>
      <c r="D317" s="7" t="s">
        <v>22</v>
      </c>
      <c r="E317" s="7" t="s">
        <v>22</v>
      </c>
      <c r="F317" s="7" t="s">
        <v>22</v>
      </c>
      <c r="G317" s="7" t="s">
        <v>22</v>
      </c>
      <c r="H317" s="7" t="s">
        <v>22</v>
      </c>
    </row>
    <row r="318" spans="1:8" x14ac:dyDescent="0.3">
      <c r="A318" s="5" t="s">
        <v>84</v>
      </c>
      <c r="B318" s="5" t="s">
        <v>48</v>
      </c>
      <c r="C318" s="5" t="s">
        <v>49</v>
      </c>
      <c r="D318" s="8" t="s">
        <v>22</v>
      </c>
      <c r="E318" s="8" t="s">
        <v>22</v>
      </c>
      <c r="F318" s="8" t="s">
        <v>22</v>
      </c>
      <c r="G318" s="8" t="s">
        <v>22</v>
      </c>
      <c r="H318" s="8" t="s">
        <v>22</v>
      </c>
    </row>
    <row r="319" spans="1:8" x14ac:dyDescent="0.3">
      <c r="A319" s="5" t="s">
        <v>84</v>
      </c>
      <c r="B319" s="5" t="s">
        <v>50</v>
      </c>
      <c r="C319" s="5" t="s">
        <v>51</v>
      </c>
      <c r="D319" s="7" t="s">
        <v>22</v>
      </c>
      <c r="E319" s="7" t="s">
        <v>22</v>
      </c>
      <c r="F319" s="7" t="s">
        <v>22</v>
      </c>
      <c r="G319" s="7" t="s">
        <v>22</v>
      </c>
      <c r="H319" s="7" t="s">
        <v>22</v>
      </c>
    </row>
    <row r="320" spans="1:8" x14ac:dyDescent="0.3">
      <c r="A320" s="5" t="s">
        <v>84</v>
      </c>
      <c r="B320" s="5" t="s">
        <v>52</v>
      </c>
      <c r="C320" s="5" t="s">
        <v>53</v>
      </c>
      <c r="D320" s="8" t="s">
        <v>22</v>
      </c>
      <c r="E320" s="8" t="s">
        <v>22</v>
      </c>
      <c r="F320" s="8" t="s">
        <v>22</v>
      </c>
      <c r="G320" s="8" t="s">
        <v>22</v>
      </c>
      <c r="H320" s="8" t="s">
        <v>22</v>
      </c>
    </row>
    <row r="321" spans="1:8" x14ac:dyDescent="0.3">
      <c r="A321" s="5" t="s">
        <v>84</v>
      </c>
      <c r="B321" s="5" t="s">
        <v>54</v>
      </c>
      <c r="C321" s="5" t="s">
        <v>55</v>
      </c>
      <c r="D321" s="7" t="s">
        <v>22</v>
      </c>
      <c r="E321" s="7" t="s">
        <v>22</v>
      </c>
      <c r="F321" s="7" t="s">
        <v>22</v>
      </c>
      <c r="G321" s="7" t="s">
        <v>22</v>
      </c>
      <c r="H321" s="7" t="s">
        <v>22</v>
      </c>
    </row>
    <row r="322" spans="1:8" x14ac:dyDescent="0.3">
      <c r="A322" s="5" t="s">
        <v>84</v>
      </c>
      <c r="B322" s="5" t="s">
        <v>56</v>
      </c>
      <c r="C322" s="5" t="s">
        <v>57</v>
      </c>
      <c r="D322" s="8" t="s">
        <v>22</v>
      </c>
      <c r="E322" s="8" t="s">
        <v>22</v>
      </c>
      <c r="F322" s="8" t="s">
        <v>22</v>
      </c>
      <c r="G322" s="8" t="s">
        <v>22</v>
      </c>
      <c r="H322" s="8" t="s">
        <v>22</v>
      </c>
    </row>
    <row r="323" spans="1:8" x14ac:dyDescent="0.3">
      <c r="A323" s="5" t="s">
        <v>85</v>
      </c>
      <c r="B323" s="5" t="s">
        <v>34</v>
      </c>
      <c r="C323" s="5" t="s">
        <v>35</v>
      </c>
      <c r="D323" s="7" t="s">
        <v>22</v>
      </c>
      <c r="E323" s="7" t="s">
        <v>22</v>
      </c>
      <c r="F323" s="7" t="s">
        <v>22</v>
      </c>
      <c r="G323" s="7" t="s">
        <v>22</v>
      </c>
      <c r="H323" s="7" t="s">
        <v>22</v>
      </c>
    </row>
    <row r="324" spans="1:8" x14ac:dyDescent="0.3">
      <c r="A324" s="5" t="s">
        <v>85</v>
      </c>
      <c r="B324" s="5" t="s">
        <v>36</v>
      </c>
      <c r="C324" s="5" t="s">
        <v>37</v>
      </c>
      <c r="D324" s="8" t="s">
        <v>22</v>
      </c>
      <c r="E324" s="8" t="s">
        <v>22</v>
      </c>
      <c r="F324" s="8" t="s">
        <v>22</v>
      </c>
      <c r="G324" s="8" t="s">
        <v>22</v>
      </c>
      <c r="H324" s="8" t="s">
        <v>22</v>
      </c>
    </row>
    <row r="325" spans="1:8" x14ac:dyDescent="0.3">
      <c r="A325" s="5" t="s">
        <v>85</v>
      </c>
      <c r="B325" s="5" t="s">
        <v>38</v>
      </c>
      <c r="C325" s="5" t="s">
        <v>39</v>
      </c>
      <c r="D325" s="7" t="s">
        <v>22</v>
      </c>
      <c r="E325" s="7" t="s">
        <v>22</v>
      </c>
      <c r="F325" s="7" t="s">
        <v>22</v>
      </c>
      <c r="G325" s="7" t="s">
        <v>22</v>
      </c>
      <c r="H325" s="7" t="s">
        <v>22</v>
      </c>
    </row>
    <row r="326" spans="1:8" x14ac:dyDescent="0.3">
      <c r="A326" s="5" t="s">
        <v>85</v>
      </c>
      <c r="B326" s="5" t="s">
        <v>40</v>
      </c>
      <c r="C326" s="5" t="s">
        <v>41</v>
      </c>
      <c r="D326" s="8" t="s">
        <v>22</v>
      </c>
      <c r="E326" s="8" t="s">
        <v>22</v>
      </c>
      <c r="F326" s="8" t="s">
        <v>22</v>
      </c>
      <c r="G326" s="8" t="s">
        <v>22</v>
      </c>
      <c r="H326" s="8" t="s">
        <v>22</v>
      </c>
    </row>
    <row r="327" spans="1:8" x14ac:dyDescent="0.3">
      <c r="A327" s="5" t="s">
        <v>85</v>
      </c>
      <c r="B327" s="5" t="s">
        <v>42</v>
      </c>
      <c r="C327" s="5" t="s">
        <v>43</v>
      </c>
      <c r="D327" s="7" t="s">
        <v>22</v>
      </c>
      <c r="E327" s="7" t="s">
        <v>22</v>
      </c>
      <c r="F327" s="7" t="s">
        <v>22</v>
      </c>
      <c r="G327" s="7" t="s">
        <v>22</v>
      </c>
      <c r="H327" s="7" t="s">
        <v>22</v>
      </c>
    </row>
    <row r="328" spans="1:8" x14ac:dyDescent="0.3">
      <c r="A328" s="5" t="s">
        <v>85</v>
      </c>
      <c r="B328" s="5" t="s">
        <v>44</v>
      </c>
      <c r="C328" s="5" t="s">
        <v>45</v>
      </c>
      <c r="D328" s="8" t="s">
        <v>22</v>
      </c>
      <c r="E328" s="8" t="s">
        <v>22</v>
      </c>
      <c r="F328" s="8" t="s">
        <v>22</v>
      </c>
      <c r="G328" s="8" t="s">
        <v>22</v>
      </c>
      <c r="H328" s="8" t="s">
        <v>22</v>
      </c>
    </row>
    <row r="329" spans="1:8" x14ac:dyDescent="0.3">
      <c r="A329" s="5" t="s">
        <v>85</v>
      </c>
      <c r="B329" s="5" t="s">
        <v>46</v>
      </c>
      <c r="C329" s="5" t="s">
        <v>47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</row>
    <row r="330" spans="1:8" x14ac:dyDescent="0.3">
      <c r="A330" s="5" t="s">
        <v>85</v>
      </c>
      <c r="B330" s="5" t="s">
        <v>48</v>
      </c>
      <c r="C330" s="5" t="s">
        <v>49</v>
      </c>
      <c r="D330" s="8" t="s">
        <v>22</v>
      </c>
      <c r="E330" s="8" t="s">
        <v>22</v>
      </c>
      <c r="F330" s="8" t="s">
        <v>22</v>
      </c>
      <c r="G330" s="8" t="s">
        <v>22</v>
      </c>
      <c r="H330" s="8" t="s">
        <v>22</v>
      </c>
    </row>
    <row r="331" spans="1:8" x14ac:dyDescent="0.3">
      <c r="A331" s="5" t="s">
        <v>85</v>
      </c>
      <c r="B331" s="5" t="s">
        <v>50</v>
      </c>
      <c r="C331" s="5" t="s">
        <v>51</v>
      </c>
      <c r="D331" s="7" t="s">
        <v>22</v>
      </c>
      <c r="E331" s="7" t="s">
        <v>22</v>
      </c>
      <c r="F331" s="7" t="s">
        <v>22</v>
      </c>
      <c r="G331" s="7" t="s">
        <v>22</v>
      </c>
      <c r="H331" s="7" t="s">
        <v>22</v>
      </c>
    </row>
    <row r="332" spans="1:8" x14ac:dyDescent="0.3">
      <c r="A332" s="5" t="s">
        <v>85</v>
      </c>
      <c r="B332" s="5" t="s">
        <v>52</v>
      </c>
      <c r="C332" s="5" t="s">
        <v>53</v>
      </c>
      <c r="D332" s="8" t="s">
        <v>22</v>
      </c>
      <c r="E332" s="8" t="s">
        <v>22</v>
      </c>
      <c r="F332" s="8" t="s">
        <v>22</v>
      </c>
      <c r="G332" s="8" t="s">
        <v>22</v>
      </c>
      <c r="H332" s="8" t="s">
        <v>22</v>
      </c>
    </row>
    <row r="333" spans="1:8" x14ac:dyDescent="0.3">
      <c r="A333" s="5" t="s">
        <v>85</v>
      </c>
      <c r="B333" s="5" t="s">
        <v>54</v>
      </c>
      <c r="C333" s="5" t="s">
        <v>55</v>
      </c>
      <c r="D333" s="7" t="s">
        <v>22</v>
      </c>
      <c r="E333" s="7" t="s">
        <v>22</v>
      </c>
      <c r="F333" s="7" t="s">
        <v>22</v>
      </c>
      <c r="G333" s="7" t="s">
        <v>22</v>
      </c>
      <c r="H333" s="7" t="s">
        <v>22</v>
      </c>
    </row>
    <row r="334" spans="1:8" x14ac:dyDescent="0.3">
      <c r="A334" s="5" t="s">
        <v>85</v>
      </c>
      <c r="B334" s="5" t="s">
        <v>56</v>
      </c>
      <c r="C334" s="5" t="s">
        <v>57</v>
      </c>
      <c r="D334" s="8" t="s">
        <v>22</v>
      </c>
      <c r="E334" s="8" t="s">
        <v>22</v>
      </c>
      <c r="F334" s="8" t="s">
        <v>22</v>
      </c>
      <c r="G334" s="8" t="s">
        <v>22</v>
      </c>
      <c r="H334" s="8" t="s">
        <v>22</v>
      </c>
    </row>
    <row r="335" spans="1:8" x14ac:dyDescent="0.3">
      <c r="A335" s="5" t="s">
        <v>86</v>
      </c>
      <c r="B335" s="5" t="s">
        <v>34</v>
      </c>
      <c r="C335" s="5" t="s">
        <v>35</v>
      </c>
      <c r="D335" s="7" t="s">
        <v>22</v>
      </c>
      <c r="E335" s="7" t="s">
        <v>22</v>
      </c>
      <c r="F335" s="7" t="s">
        <v>22</v>
      </c>
      <c r="G335" s="7" t="s">
        <v>22</v>
      </c>
      <c r="H335" s="7" t="s">
        <v>22</v>
      </c>
    </row>
    <row r="336" spans="1:8" x14ac:dyDescent="0.3">
      <c r="A336" s="5" t="s">
        <v>86</v>
      </c>
      <c r="B336" s="5" t="s">
        <v>36</v>
      </c>
      <c r="C336" s="5" t="s">
        <v>37</v>
      </c>
      <c r="D336" s="8" t="s">
        <v>22</v>
      </c>
      <c r="E336" s="8" t="s">
        <v>22</v>
      </c>
      <c r="F336" s="8" t="s">
        <v>22</v>
      </c>
      <c r="G336" s="8" t="s">
        <v>22</v>
      </c>
      <c r="H336" s="8" t="s">
        <v>22</v>
      </c>
    </row>
    <row r="337" spans="1:8" x14ac:dyDescent="0.3">
      <c r="A337" s="5" t="s">
        <v>86</v>
      </c>
      <c r="B337" s="5" t="s">
        <v>38</v>
      </c>
      <c r="C337" s="5" t="s">
        <v>39</v>
      </c>
      <c r="D337" s="7" t="s">
        <v>22</v>
      </c>
      <c r="E337" s="7" t="s">
        <v>22</v>
      </c>
      <c r="F337" s="7" t="s">
        <v>22</v>
      </c>
      <c r="G337" s="7" t="s">
        <v>22</v>
      </c>
      <c r="H337" s="7" t="s">
        <v>22</v>
      </c>
    </row>
    <row r="338" spans="1:8" x14ac:dyDescent="0.3">
      <c r="A338" s="5" t="s">
        <v>86</v>
      </c>
      <c r="B338" s="5" t="s">
        <v>40</v>
      </c>
      <c r="C338" s="5" t="s">
        <v>41</v>
      </c>
      <c r="D338" s="8" t="s">
        <v>22</v>
      </c>
      <c r="E338" s="8" t="s">
        <v>22</v>
      </c>
      <c r="F338" s="8" t="s">
        <v>22</v>
      </c>
      <c r="G338" s="8" t="s">
        <v>22</v>
      </c>
      <c r="H338" s="8" t="s">
        <v>22</v>
      </c>
    </row>
    <row r="339" spans="1:8" x14ac:dyDescent="0.3">
      <c r="A339" s="5" t="s">
        <v>86</v>
      </c>
      <c r="B339" s="5" t="s">
        <v>42</v>
      </c>
      <c r="C339" s="5" t="s">
        <v>43</v>
      </c>
      <c r="D339" s="7" t="s">
        <v>22</v>
      </c>
      <c r="E339" s="7" t="s">
        <v>22</v>
      </c>
      <c r="F339" s="7" t="s">
        <v>22</v>
      </c>
      <c r="G339" s="7" t="s">
        <v>22</v>
      </c>
      <c r="H339" s="7" t="s">
        <v>22</v>
      </c>
    </row>
    <row r="340" spans="1:8" x14ac:dyDescent="0.3">
      <c r="A340" s="5" t="s">
        <v>86</v>
      </c>
      <c r="B340" s="5" t="s">
        <v>44</v>
      </c>
      <c r="C340" s="5" t="s">
        <v>45</v>
      </c>
      <c r="D340" s="8" t="s">
        <v>22</v>
      </c>
      <c r="E340" s="8" t="s">
        <v>22</v>
      </c>
      <c r="F340" s="8" t="s">
        <v>22</v>
      </c>
      <c r="G340" s="8" t="s">
        <v>22</v>
      </c>
      <c r="H340" s="8" t="s">
        <v>22</v>
      </c>
    </row>
    <row r="341" spans="1:8" x14ac:dyDescent="0.3">
      <c r="A341" s="5" t="s">
        <v>86</v>
      </c>
      <c r="B341" s="5" t="s">
        <v>46</v>
      </c>
      <c r="C341" s="5" t="s">
        <v>47</v>
      </c>
      <c r="D341" s="7" t="s">
        <v>22</v>
      </c>
      <c r="E341" s="7" t="s">
        <v>22</v>
      </c>
      <c r="F341" s="7" t="s">
        <v>22</v>
      </c>
      <c r="G341" s="7" t="s">
        <v>22</v>
      </c>
      <c r="H341" s="7" t="s">
        <v>22</v>
      </c>
    </row>
    <row r="342" spans="1:8" x14ac:dyDescent="0.3">
      <c r="A342" s="5" t="s">
        <v>86</v>
      </c>
      <c r="B342" s="5" t="s">
        <v>48</v>
      </c>
      <c r="C342" s="5" t="s">
        <v>49</v>
      </c>
      <c r="D342" s="8" t="s">
        <v>22</v>
      </c>
      <c r="E342" s="8" t="s">
        <v>22</v>
      </c>
      <c r="F342" s="8" t="s">
        <v>22</v>
      </c>
      <c r="G342" s="8" t="s">
        <v>22</v>
      </c>
      <c r="H342" s="8" t="s">
        <v>22</v>
      </c>
    </row>
    <row r="343" spans="1:8" x14ac:dyDescent="0.3">
      <c r="A343" s="5" t="s">
        <v>86</v>
      </c>
      <c r="B343" s="5" t="s">
        <v>50</v>
      </c>
      <c r="C343" s="5" t="s">
        <v>51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</row>
    <row r="344" spans="1:8" x14ac:dyDescent="0.3">
      <c r="A344" s="5" t="s">
        <v>86</v>
      </c>
      <c r="B344" s="5" t="s">
        <v>52</v>
      </c>
      <c r="C344" s="5" t="s">
        <v>53</v>
      </c>
      <c r="D344" s="8" t="s">
        <v>22</v>
      </c>
      <c r="E344" s="8" t="s">
        <v>22</v>
      </c>
      <c r="F344" s="8" t="s">
        <v>22</v>
      </c>
      <c r="G344" s="8" t="s">
        <v>22</v>
      </c>
      <c r="H344" s="8" t="s">
        <v>22</v>
      </c>
    </row>
    <row r="345" spans="1:8" x14ac:dyDescent="0.3">
      <c r="A345" s="5" t="s">
        <v>86</v>
      </c>
      <c r="B345" s="5" t="s">
        <v>54</v>
      </c>
      <c r="C345" s="5" t="s">
        <v>55</v>
      </c>
      <c r="D345" s="7" t="s">
        <v>22</v>
      </c>
      <c r="E345" s="7" t="s">
        <v>22</v>
      </c>
      <c r="F345" s="7" t="s">
        <v>22</v>
      </c>
      <c r="G345" s="7" t="s">
        <v>22</v>
      </c>
      <c r="H345" s="7" t="s">
        <v>22</v>
      </c>
    </row>
    <row r="346" spans="1:8" x14ac:dyDescent="0.3">
      <c r="A346" s="5" t="s">
        <v>86</v>
      </c>
      <c r="B346" s="5" t="s">
        <v>56</v>
      </c>
      <c r="C346" s="5" t="s">
        <v>57</v>
      </c>
      <c r="D346" s="8" t="s">
        <v>22</v>
      </c>
      <c r="E346" s="8" t="s">
        <v>22</v>
      </c>
      <c r="F346" s="8" t="s">
        <v>22</v>
      </c>
      <c r="G346" s="8" t="s">
        <v>22</v>
      </c>
      <c r="H346" s="8" t="s">
        <v>22</v>
      </c>
    </row>
    <row r="347" spans="1:8" x14ac:dyDescent="0.3">
      <c r="A347" s="5" t="s">
        <v>87</v>
      </c>
      <c r="B347" s="5" t="s">
        <v>34</v>
      </c>
      <c r="C347" s="5" t="s">
        <v>35</v>
      </c>
      <c r="D347" s="7" t="s">
        <v>22</v>
      </c>
      <c r="E347" s="7" t="s">
        <v>22</v>
      </c>
      <c r="F347" s="7" t="s">
        <v>22</v>
      </c>
      <c r="G347" s="7" t="s">
        <v>22</v>
      </c>
      <c r="H347" s="7" t="s">
        <v>22</v>
      </c>
    </row>
    <row r="348" spans="1:8" x14ac:dyDescent="0.3">
      <c r="A348" s="5" t="s">
        <v>87</v>
      </c>
      <c r="B348" s="5" t="s">
        <v>36</v>
      </c>
      <c r="C348" s="5" t="s">
        <v>37</v>
      </c>
      <c r="D348" s="8" t="s">
        <v>22</v>
      </c>
      <c r="E348" s="8" t="s">
        <v>22</v>
      </c>
      <c r="F348" s="8" t="s">
        <v>22</v>
      </c>
      <c r="G348" s="8" t="s">
        <v>22</v>
      </c>
      <c r="H348" s="8" t="s">
        <v>22</v>
      </c>
    </row>
    <row r="349" spans="1:8" x14ac:dyDescent="0.3">
      <c r="A349" s="5" t="s">
        <v>87</v>
      </c>
      <c r="B349" s="5" t="s">
        <v>38</v>
      </c>
      <c r="C349" s="5" t="s">
        <v>39</v>
      </c>
      <c r="D349" s="7" t="s">
        <v>22</v>
      </c>
      <c r="E349" s="7" t="s">
        <v>22</v>
      </c>
      <c r="F349" s="7" t="s">
        <v>22</v>
      </c>
      <c r="G349" s="7" t="s">
        <v>22</v>
      </c>
      <c r="H349" s="7" t="s">
        <v>22</v>
      </c>
    </row>
    <row r="350" spans="1:8" x14ac:dyDescent="0.3">
      <c r="A350" s="5" t="s">
        <v>87</v>
      </c>
      <c r="B350" s="5" t="s">
        <v>40</v>
      </c>
      <c r="C350" s="5" t="s">
        <v>41</v>
      </c>
      <c r="D350" s="8" t="s">
        <v>22</v>
      </c>
      <c r="E350" s="8" t="s">
        <v>22</v>
      </c>
      <c r="F350" s="8" t="s">
        <v>22</v>
      </c>
      <c r="G350" s="8" t="s">
        <v>22</v>
      </c>
      <c r="H350" s="8" t="s">
        <v>22</v>
      </c>
    </row>
    <row r="351" spans="1:8" x14ac:dyDescent="0.3">
      <c r="A351" s="5" t="s">
        <v>87</v>
      </c>
      <c r="B351" s="5" t="s">
        <v>42</v>
      </c>
      <c r="C351" s="5" t="s">
        <v>43</v>
      </c>
      <c r="D351" s="7" t="s">
        <v>22</v>
      </c>
      <c r="E351" s="7" t="s">
        <v>22</v>
      </c>
      <c r="F351" s="7" t="s">
        <v>22</v>
      </c>
      <c r="G351" s="7" t="s">
        <v>22</v>
      </c>
      <c r="H351" s="7" t="s">
        <v>22</v>
      </c>
    </row>
    <row r="352" spans="1:8" x14ac:dyDescent="0.3">
      <c r="A352" s="5" t="s">
        <v>87</v>
      </c>
      <c r="B352" s="5" t="s">
        <v>44</v>
      </c>
      <c r="C352" s="5" t="s">
        <v>45</v>
      </c>
      <c r="D352" s="8" t="s">
        <v>22</v>
      </c>
      <c r="E352" s="8" t="s">
        <v>22</v>
      </c>
      <c r="F352" s="8" t="s">
        <v>22</v>
      </c>
      <c r="G352" s="8" t="s">
        <v>22</v>
      </c>
      <c r="H352" s="8" t="s">
        <v>22</v>
      </c>
    </row>
    <row r="353" spans="1:8" x14ac:dyDescent="0.3">
      <c r="A353" s="5" t="s">
        <v>87</v>
      </c>
      <c r="B353" s="5" t="s">
        <v>46</v>
      </c>
      <c r="C353" s="5" t="s">
        <v>47</v>
      </c>
      <c r="D353" s="7" t="s">
        <v>22</v>
      </c>
      <c r="E353" s="7" t="s">
        <v>22</v>
      </c>
      <c r="F353" s="7" t="s">
        <v>22</v>
      </c>
      <c r="G353" s="7" t="s">
        <v>22</v>
      </c>
      <c r="H353" s="7" t="s">
        <v>22</v>
      </c>
    </row>
    <row r="354" spans="1:8" x14ac:dyDescent="0.3">
      <c r="A354" s="5" t="s">
        <v>87</v>
      </c>
      <c r="B354" s="5" t="s">
        <v>48</v>
      </c>
      <c r="C354" s="5" t="s">
        <v>49</v>
      </c>
      <c r="D354" s="8" t="s">
        <v>22</v>
      </c>
      <c r="E354" s="8" t="s">
        <v>22</v>
      </c>
      <c r="F354" s="8" t="s">
        <v>22</v>
      </c>
      <c r="G354" s="8" t="s">
        <v>22</v>
      </c>
      <c r="H354" s="8" t="s">
        <v>22</v>
      </c>
    </row>
    <row r="355" spans="1:8" x14ac:dyDescent="0.3">
      <c r="A355" s="5" t="s">
        <v>87</v>
      </c>
      <c r="B355" s="5" t="s">
        <v>50</v>
      </c>
      <c r="C355" s="5" t="s">
        <v>51</v>
      </c>
      <c r="D355" s="7" t="s">
        <v>22</v>
      </c>
      <c r="E355" s="7" t="s">
        <v>22</v>
      </c>
      <c r="F355" s="7" t="s">
        <v>22</v>
      </c>
      <c r="G355" s="7" t="s">
        <v>22</v>
      </c>
      <c r="H355" s="7" t="s">
        <v>22</v>
      </c>
    </row>
    <row r="356" spans="1:8" x14ac:dyDescent="0.3">
      <c r="A356" s="5" t="s">
        <v>87</v>
      </c>
      <c r="B356" s="5" t="s">
        <v>52</v>
      </c>
      <c r="C356" s="5" t="s">
        <v>53</v>
      </c>
      <c r="D356" s="8" t="s">
        <v>22</v>
      </c>
      <c r="E356" s="8" t="s">
        <v>22</v>
      </c>
      <c r="F356" s="8" t="s">
        <v>22</v>
      </c>
      <c r="G356" s="8" t="s">
        <v>22</v>
      </c>
      <c r="H356" s="8" t="s">
        <v>22</v>
      </c>
    </row>
    <row r="357" spans="1:8" x14ac:dyDescent="0.3">
      <c r="A357" s="5" t="s">
        <v>87</v>
      </c>
      <c r="B357" s="5" t="s">
        <v>54</v>
      </c>
      <c r="C357" s="5" t="s">
        <v>55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</row>
    <row r="358" spans="1:8" x14ac:dyDescent="0.3">
      <c r="A358" s="5" t="s">
        <v>87</v>
      </c>
      <c r="B358" s="5" t="s">
        <v>56</v>
      </c>
      <c r="C358" s="5" t="s">
        <v>57</v>
      </c>
      <c r="D358" s="8" t="s">
        <v>22</v>
      </c>
      <c r="E358" s="8" t="s">
        <v>22</v>
      </c>
      <c r="F358" s="8" t="s">
        <v>22</v>
      </c>
      <c r="G358" s="8" t="s">
        <v>22</v>
      </c>
      <c r="H358" s="8" t="s">
        <v>22</v>
      </c>
    </row>
    <row r="359" spans="1:8" x14ac:dyDescent="0.3">
      <c r="A359" s="5" t="s">
        <v>88</v>
      </c>
      <c r="B359" s="5" t="s">
        <v>34</v>
      </c>
      <c r="C359" s="5" t="s">
        <v>35</v>
      </c>
      <c r="D359" s="7" t="s">
        <v>22</v>
      </c>
      <c r="E359" s="7" t="s">
        <v>22</v>
      </c>
      <c r="F359" s="7" t="s">
        <v>22</v>
      </c>
      <c r="G359" s="7" t="s">
        <v>22</v>
      </c>
      <c r="H359" s="7" t="s">
        <v>22</v>
      </c>
    </row>
    <row r="360" spans="1:8" x14ac:dyDescent="0.3">
      <c r="A360" s="5" t="s">
        <v>88</v>
      </c>
      <c r="B360" s="5" t="s">
        <v>36</v>
      </c>
      <c r="C360" s="5" t="s">
        <v>37</v>
      </c>
      <c r="D360" s="8" t="s">
        <v>22</v>
      </c>
      <c r="E360" s="8" t="s">
        <v>22</v>
      </c>
      <c r="F360" s="8" t="s">
        <v>22</v>
      </c>
      <c r="G360" s="8" t="s">
        <v>22</v>
      </c>
      <c r="H360" s="8" t="s">
        <v>22</v>
      </c>
    </row>
    <row r="361" spans="1:8" x14ac:dyDescent="0.3">
      <c r="A361" s="5" t="s">
        <v>88</v>
      </c>
      <c r="B361" s="5" t="s">
        <v>38</v>
      </c>
      <c r="C361" s="5" t="s">
        <v>39</v>
      </c>
      <c r="D361" s="7" t="s">
        <v>22</v>
      </c>
      <c r="E361" s="7" t="s">
        <v>22</v>
      </c>
      <c r="F361" s="7" t="s">
        <v>22</v>
      </c>
      <c r="G361" s="7" t="s">
        <v>22</v>
      </c>
      <c r="H361" s="7" t="s">
        <v>22</v>
      </c>
    </row>
    <row r="362" spans="1:8" x14ac:dyDescent="0.3">
      <c r="A362" s="5" t="s">
        <v>88</v>
      </c>
      <c r="B362" s="5" t="s">
        <v>40</v>
      </c>
      <c r="C362" s="5" t="s">
        <v>41</v>
      </c>
      <c r="D362" s="8" t="s">
        <v>22</v>
      </c>
      <c r="E362" s="8" t="s">
        <v>22</v>
      </c>
      <c r="F362" s="8" t="s">
        <v>22</v>
      </c>
      <c r="G362" s="8" t="s">
        <v>22</v>
      </c>
      <c r="H362" s="8" t="s">
        <v>22</v>
      </c>
    </row>
    <row r="363" spans="1:8" x14ac:dyDescent="0.3">
      <c r="A363" s="5" t="s">
        <v>88</v>
      </c>
      <c r="B363" s="5" t="s">
        <v>42</v>
      </c>
      <c r="C363" s="5" t="s">
        <v>43</v>
      </c>
      <c r="D363" s="7" t="s">
        <v>22</v>
      </c>
      <c r="E363" s="7" t="s">
        <v>22</v>
      </c>
      <c r="F363" s="7" t="s">
        <v>22</v>
      </c>
      <c r="G363" s="7" t="s">
        <v>22</v>
      </c>
      <c r="H363" s="7" t="s">
        <v>22</v>
      </c>
    </row>
    <row r="364" spans="1:8" x14ac:dyDescent="0.3">
      <c r="A364" s="5" t="s">
        <v>88</v>
      </c>
      <c r="B364" s="5" t="s">
        <v>44</v>
      </c>
      <c r="C364" s="5" t="s">
        <v>45</v>
      </c>
      <c r="D364" s="8" t="s">
        <v>22</v>
      </c>
      <c r="E364" s="8" t="s">
        <v>22</v>
      </c>
      <c r="F364" s="8" t="s">
        <v>22</v>
      </c>
      <c r="G364" s="8" t="s">
        <v>22</v>
      </c>
      <c r="H364" s="8" t="s">
        <v>22</v>
      </c>
    </row>
    <row r="365" spans="1:8" x14ac:dyDescent="0.3">
      <c r="A365" s="5" t="s">
        <v>88</v>
      </c>
      <c r="B365" s="5" t="s">
        <v>46</v>
      </c>
      <c r="C365" s="5" t="s">
        <v>47</v>
      </c>
      <c r="D365" s="7" t="s">
        <v>22</v>
      </c>
      <c r="E365" s="7" t="s">
        <v>22</v>
      </c>
      <c r="F365" s="7" t="s">
        <v>22</v>
      </c>
      <c r="G365" s="7" t="s">
        <v>22</v>
      </c>
      <c r="H365" s="7" t="s">
        <v>22</v>
      </c>
    </row>
    <row r="366" spans="1:8" x14ac:dyDescent="0.3">
      <c r="A366" s="5" t="s">
        <v>88</v>
      </c>
      <c r="B366" s="5" t="s">
        <v>48</v>
      </c>
      <c r="C366" s="5" t="s">
        <v>49</v>
      </c>
      <c r="D366" s="8" t="s">
        <v>22</v>
      </c>
      <c r="E366" s="8" t="s">
        <v>22</v>
      </c>
      <c r="F366" s="8" t="s">
        <v>22</v>
      </c>
      <c r="G366" s="8" t="s">
        <v>22</v>
      </c>
      <c r="H366" s="8" t="s">
        <v>22</v>
      </c>
    </row>
    <row r="367" spans="1:8" x14ac:dyDescent="0.3">
      <c r="A367" s="5" t="s">
        <v>88</v>
      </c>
      <c r="B367" s="5" t="s">
        <v>50</v>
      </c>
      <c r="C367" s="5" t="s">
        <v>51</v>
      </c>
      <c r="D367" s="7" t="s">
        <v>22</v>
      </c>
      <c r="E367" s="7" t="s">
        <v>22</v>
      </c>
      <c r="F367" s="7" t="s">
        <v>22</v>
      </c>
      <c r="G367" s="7" t="s">
        <v>22</v>
      </c>
      <c r="H367" s="7" t="s">
        <v>22</v>
      </c>
    </row>
    <row r="368" spans="1:8" x14ac:dyDescent="0.3">
      <c r="A368" s="5" t="s">
        <v>88</v>
      </c>
      <c r="B368" s="5" t="s">
        <v>52</v>
      </c>
      <c r="C368" s="5" t="s">
        <v>53</v>
      </c>
      <c r="D368" s="8" t="s">
        <v>22</v>
      </c>
      <c r="E368" s="8" t="s">
        <v>22</v>
      </c>
      <c r="F368" s="8" t="s">
        <v>22</v>
      </c>
      <c r="G368" s="8" t="s">
        <v>22</v>
      </c>
      <c r="H368" s="8" t="s">
        <v>22</v>
      </c>
    </row>
    <row r="369" spans="1:8" x14ac:dyDescent="0.3">
      <c r="A369" s="5" t="s">
        <v>88</v>
      </c>
      <c r="B369" s="5" t="s">
        <v>54</v>
      </c>
      <c r="C369" s="5" t="s">
        <v>55</v>
      </c>
      <c r="D369" s="7" t="s">
        <v>22</v>
      </c>
      <c r="E369" s="7" t="s">
        <v>22</v>
      </c>
      <c r="F369" s="7" t="s">
        <v>22</v>
      </c>
      <c r="G369" s="7" t="s">
        <v>22</v>
      </c>
      <c r="H369" s="7" t="s">
        <v>22</v>
      </c>
    </row>
    <row r="370" spans="1:8" x14ac:dyDescent="0.3">
      <c r="A370" s="5" t="s">
        <v>88</v>
      </c>
      <c r="B370" s="5" t="s">
        <v>56</v>
      </c>
      <c r="C370" s="5" t="s">
        <v>57</v>
      </c>
      <c r="D370" s="8" t="s">
        <v>22</v>
      </c>
      <c r="E370" s="8" t="s">
        <v>22</v>
      </c>
      <c r="F370" s="8" t="s">
        <v>22</v>
      </c>
      <c r="G370" s="8" t="s">
        <v>22</v>
      </c>
      <c r="H370" s="8" t="s">
        <v>22</v>
      </c>
    </row>
    <row r="371" spans="1:8" x14ac:dyDescent="0.3">
      <c r="A371" s="5" t="s">
        <v>89</v>
      </c>
      <c r="B371" s="5" t="s">
        <v>34</v>
      </c>
      <c r="C371" s="5" t="s">
        <v>35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</row>
    <row r="372" spans="1:8" x14ac:dyDescent="0.3">
      <c r="A372" s="5" t="s">
        <v>89</v>
      </c>
      <c r="B372" s="5" t="s">
        <v>36</v>
      </c>
      <c r="C372" s="5" t="s">
        <v>37</v>
      </c>
      <c r="D372" s="8" t="s">
        <v>22</v>
      </c>
      <c r="E372" s="8" t="s">
        <v>22</v>
      </c>
      <c r="F372" s="8" t="s">
        <v>22</v>
      </c>
      <c r="G372" s="8" t="s">
        <v>22</v>
      </c>
      <c r="H372" s="8" t="s">
        <v>22</v>
      </c>
    </row>
    <row r="373" spans="1:8" x14ac:dyDescent="0.3">
      <c r="A373" s="5" t="s">
        <v>89</v>
      </c>
      <c r="B373" s="5" t="s">
        <v>38</v>
      </c>
      <c r="C373" s="5" t="s">
        <v>39</v>
      </c>
      <c r="D373" s="7" t="s">
        <v>22</v>
      </c>
      <c r="E373" s="7" t="s">
        <v>22</v>
      </c>
      <c r="F373" s="7" t="s">
        <v>22</v>
      </c>
      <c r="G373" s="7" t="s">
        <v>22</v>
      </c>
      <c r="H373" s="7" t="s">
        <v>22</v>
      </c>
    </row>
    <row r="374" spans="1:8" x14ac:dyDescent="0.3">
      <c r="A374" s="5" t="s">
        <v>89</v>
      </c>
      <c r="B374" s="5" t="s">
        <v>40</v>
      </c>
      <c r="C374" s="5" t="s">
        <v>41</v>
      </c>
      <c r="D374" s="8" t="s">
        <v>22</v>
      </c>
      <c r="E374" s="8" t="s">
        <v>22</v>
      </c>
      <c r="F374" s="8" t="s">
        <v>22</v>
      </c>
      <c r="G374" s="8" t="s">
        <v>22</v>
      </c>
      <c r="H374" s="8" t="s">
        <v>22</v>
      </c>
    </row>
    <row r="375" spans="1:8" x14ac:dyDescent="0.3">
      <c r="A375" s="5" t="s">
        <v>89</v>
      </c>
      <c r="B375" s="5" t="s">
        <v>42</v>
      </c>
      <c r="C375" s="5" t="s">
        <v>43</v>
      </c>
      <c r="D375" s="7" t="s">
        <v>22</v>
      </c>
      <c r="E375" s="7" t="s">
        <v>22</v>
      </c>
      <c r="F375" s="7" t="s">
        <v>22</v>
      </c>
      <c r="G375" s="7" t="s">
        <v>22</v>
      </c>
      <c r="H375" s="7" t="s">
        <v>22</v>
      </c>
    </row>
    <row r="376" spans="1:8" x14ac:dyDescent="0.3">
      <c r="A376" s="5" t="s">
        <v>89</v>
      </c>
      <c r="B376" s="5" t="s">
        <v>44</v>
      </c>
      <c r="C376" s="5" t="s">
        <v>45</v>
      </c>
      <c r="D376" s="8" t="s">
        <v>22</v>
      </c>
      <c r="E376" s="8" t="s">
        <v>22</v>
      </c>
      <c r="F376" s="8" t="s">
        <v>22</v>
      </c>
      <c r="G376" s="8" t="s">
        <v>22</v>
      </c>
      <c r="H376" s="8" t="s">
        <v>22</v>
      </c>
    </row>
    <row r="377" spans="1:8" x14ac:dyDescent="0.3">
      <c r="A377" s="5" t="s">
        <v>89</v>
      </c>
      <c r="B377" s="5" t="s">
        <v>46</v>
      </c>
      <c r="C377" s="5" t="s">
        <v>47</v>
      </c>
      <c r="D377" s="7" t="s">
        <v>22</v>
      </c>
      <c r="E377" s="7" t="s">
        <v>22</v>
      </c>
      <c r="F377" s="7" t="s">
        <v>22</v>
      </c>
      <c r="G377" s="7" t="s">
        <v>22</v>
      </c>
      <c r="H377" s="7" t="s">
        <v>22</v>
      </c>
    </row>
    <row r="378" spans="1:8" x14ac:dyDescent="0.3">
      <c r="A378" s="5" t="s">
        <v>89</v>
      </c>
      <c r="B378" s="5" t="s">
        <v>48</v>
      </c>
      <c r="C378" s="5" t="s">
        <v>49</v>
      </c>
      <c r="D378" s="8" t="s">
        <v>22</v>
      </c>
      <c r="E378" s="8" t="s">
        <v>22</v>
      </c>
      <c r="F378" s="8" t="s">
        <v>22</v>
      </c>
      <c r="G378" s="8" t="s">
        <v>22</v>
      </c>
      <c r="H378" s="8" t="s">
        <v>22</v>
      </c>
    </row>
    <row r="379" spans="1:8" x14ac:dyDescent="0.3">
      <c r="A379" s="5" t="s">
        <v>89</v>
      </c>
      <c r="B379" s="5" t="s">
        <v>50</v>
      </c>
      <c r="C379" s="5" t="s">
        <v>51</v>
      </c>
      <c r="D379" s="7" t="s">
        <v>22</v>
      </c>
      <c r="E379" s="7" t="s">
        <v>22</v>
      </c>
      <c r="F379" s="7" t="s">
        <v>22</v>
      </c>
      <c r="G379" s="7" t="s">
        <v>22</v>
      </c>
      <c r="H379" s="7" t="s">
        <v>22</v>
      </c>
    </row>
    <row r="380" spans="1:8" x14ac:dyDescent="0.3">
      <c r="A380" s="5" t="s">
        <v>89</v>
      </c>
      <c r="B380" s="5" t="s">
        <v>52</v>
      </c>
      <c r="C380" s="5" t="s">
        <v>53</v>
      </c>
      <c r="D380" s="8" t="s">
        <v>22</v>
      </c>
      <c r="E380" s="8" t="s">
        <v>22</v>
      </c>
      <c r="F380" s="8" t="s">
        <v>22</v>
      </c>
      <c r="G380" s="8" t="s">
        <v>22</v>
      </c>
      <c r="H380" s="8" t="s">
        <v>22</v>
      </c>
    </row>
    <row r="381" spans="1:8" x14ac:dyDescent="0.3">
      <c r="A381" s="5" t="s">
        <v>89</v>
      </c>
      <c r="B381" s="5" t="s">
        <v>54</v>
      </c>
      <c r="C381" s="5" t="s">
        <v>55</v>
      </c>
      <c r="D381" s="7" t="s">
        <v>22</v>
      </c>
      <c r="E381" s="7" t="s">
        <v>22</v>
      </c>
      <c r="F381" s="7" t="s">
        <v>22</v>
      </c>
      <c r="G381" s="7" t="s">
        <v>22</v>
      </c>
      <c r="H381" s="7" t="s">
        <v>22</v>
      </c>
    </row>
    <row r="382" spans="1:8" x14ac:dyDescent="0.3">
      <c r="A382" s="5" t="s">
        <v>89</v>
      </c>
      <c r="B382" s="5" t="s">
        <v>56</v>
      </c>
      <c r="C382" s="5" t="s">
        <v>57</v>
      </c>
      <c r="D382" s="8" t="s">
        <v>22</v>
      </c>
      <c r="E382" s="8" t="s">
        <v>22</v>
      </c>
      <c r="F382" s="8" t="s">
        <v>22</v>
      </c>
      <c r="G382" s="8" t="s">
        <v>22</v>
      </c>
      <c r="H382" s="8" t="s">
        <v>22</v>
      </c>
    </row>
    <row r="383" spans="1:8" x14ac:dyDescent="0.3">
      <c r="A383" s="5" t="s">
        <v>90</v>
      </c>
      <c r="B383" s="5" t="s">
        <v>34</v>
      </c>
      <c r="C383" s="5" t="s">
        <v>35</v>
      </c>
      <c r="D383" s="7" t="s">
        <v>22</v>
      </c>
      <c r="E383" s="7" t="s">
        <v>22</v>
      </c>
      <c r="F383" s="7" t="s">
        <v>22</v>
      </c>
      <c r="G383" s="7" t="s">
        <v>22</v>
      </c>
      <c r="H383" s="7" t="s">
        <v>22</v>
      </c>
    </row>
    <row r="384" spans="1:8" x14ac:dyDescent="0.3">
      <c r="A384" s="5" t="s">
        <v>90</v>
      </c>
      <c r="B384" s="5" t="s">
        <v>36</v>
      </c>
      <c r="C384" s="5" t="s">
        <v>37</v>
      </c>
      <c r="D384" s="8" t="s">
        <v>22</v>
      </c>
      <c r="E384" s="8" t="s">
        <v>22</v>
      </c>
      <c r="F384" s="8" t="s">
        <v>22</v>
      </c>
      <c r="G384" s="8" t="s">
        <v>22</v>
      </c>
      <c r="H384" s="8" t="s">
        <v>22</v>
      </c>
    </row>
    <row r="385" spans="1:8" x14ac:dyDescent="0.3">
      <c r="A385" s="5" t="s">
        <v>90</v>
      </c>
      <c r="B385" s="5" t="s">
        <v>38</v>
      </c>
      <c r="C385" s="5" t="s">
        <v>39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</row>
    <row r="386" spans="1:8" x14ac:dyDescent="0.3">
      <c r="A386" s="5" t="s">
        <v>90</v>
      </c>
      <c r="B386" s="5" t="s">
        <v>40</v>
      </c>
      <c r="C386" s="5" t="s">
        <v>41</v>
      </c>
      <c r="D386" s="8" t="s">
        <v>22</v>
      </c>
      <c r="E386" s="8" t="s">
        <v>22</v>
      </c>
      <c r="F386" s="8" t="s">
        <v>22</v>
      </c>
      <c r="G386" s="8" t="s">
        <v>22</v>
      </c>
      <c r="H386" s="8" t="s">
        <v>22</v>
      </c>
    </row>
    <row r="387" spans="1:8" x14ac:dyDescent="0.3">
      <c r="A387" s="5" t="s">
        <v>90</v>
      </c>
      <c r="B387" s="5" t="s">
        <v>42</v>
      </c>
      <c r="C387" s="5" t="s">
        <v>43</v>
      </c>
      <c r="D387" s="7" t="s">
        <v>22</v>
      </c>
      <c r="E387" s="7" t="s">
        <v>22</v>
      </c>
      <c r="F387" s="7" t="s">
        <v>22</v>
      </c>
      <c r="G387" s="7" t="s">
        <v>22</v>
      </c>
      <c r="H387" s="7" t="s">
        <v>22</v>
      </c>
    </row>
    <row r="388" spans="1:8" x14ac:dyDescent="0.3">
      <c r="A388" s="5" t="s">
        <v>90</v>
      </c>
      <c r="B388" s="5" t="s">
        <v>44</v>
      </c>
      <c r="C388" s="5" t="s">
        <v>45</v>
      </c>
      <c r="D388" s="8" t="s">
        <v>22</v>
      </c>
      <c r="E388" s="8" t="s">
        <v>22</v>
      </c>
      <c r="F388" s="8" t="s">
        <v>22</v>
      </c>
      <c r="G388" s="8" t="s">
        <v>22</v>
      </c>
      <c r="H388" s="8" t="s">
        <v>22</v>
      </c>
    </row>
    <row r="389" spans="1:8" x14ac:dyDescent="0.3">
      <c r="A389" s="5" t="s">
        <v>90</v>
      </c>
      <c r="B389" s="5" t="s">
        <v>46</v>
      </c>
      <c r="C389" s="5" t="s">
        <v>47</v>
      </c>
      <c r="D389" s="7" t="s">
        <v>22</v>
      </c>
      <c r="E389" s="7" t="s">
        <v>22</v>
      </c>
      <c r="F389" s="7" t="s">
        <v>22</v>
      </c>
      <c r="G389" s="7" t="s">
        <v>22</v>
      </c>
      <c r="H389" s="7" t="s">
        <v>22</v>
      </c>
    </row>
    <row r="390" spans="1:8" x14ac:dyDescent="0.3">
      <c r="A390" s="5" t="s">
        <v>90</v>
      </c>
      <c r="B390" s="5" t="s">
        <v>48</v>
      </c>
      <c r="C390" s="5" t="s">
        <v>49</v>
      </c>
      <c r="D390" s="8" t="s">
        <v>22</v>
      </c>
      <c r="E390" s="8" t="s">
        <v>22</v>
      </c>
      <c r="F390" s="8" t="s">
        <v>22</v>
      </c>
      <c r="G390" s="8" t="s">
        <v>22</v>
      </c>
      <c r="H390" s="8" t="s">
        <v>22</v>
      </c>
    </row>
    <row r="391" spans="1:8" x14ac:dyDescent="0.3">
      <c r="A391" s="5" t="s">
        <v>90</v>
      </c>
      <c r="B391" s="5" t="s">
        <v>50</v>
      </c>
      <c r="C391" s="5" t="s">
        <v>51</v>
      </c>
      <c r="D391" s="7" t="s">
        <v>22</v>
      </c>
      <c r="E391" s="7" t="s">
        <v>22</v>
      </c>
      <c r="F391" s="7" t="s">
        <v>22</v>
      </c>
      <c r="G391" s="7" t="s">
        <v>22</v>
      </c>
      <c r="H391" s="7" t="s">
        <v>22</v>
      </c>
    </row>
    <row r="392" spans="1:8" x14ac:dyDescent="0.3">
      <c r="A392" s="5" t="s">
        <v>90</v>
      </c>
      <c r="B392" s="5" t="s">
        <v>52</v>
      </c>
      <c r="C392" s="5" t="s">
        <v>53</v>
      </c>
      <c r="D392" s="8" t="s">
        <v>22</v>
      </c>
      <c r="E392" s="8" t="s">
        <v>22</v>
      </c>
      <c r="F392" s="8" t="s">
        <v>22</v>
      </c>
      <c r="G392" s="8" t="s">
        <v>22</v>
      </c>
      <c r="H392" s="8" t="s">
        <v>22</v>
      </c>
    </row>
    <row r="393" spans="1:8" x14ac:dyDescent="0.3">
      <c r="A393" s="5" t="s">
        <v>90</v>
      </c>
      <c r="B393" s="5" t="s">
        <v>54</v>
      </c>
      <c r="C393" s="5" t="s">
        <v>55</v>
      </c>
      <c r="D393" s="7" t="s">
        <v>22</v>
      </c>
      <c r="E393" s="7" t="s">
        <v>22</v>
      </c>
      <c r="F393" s="7" t="s">
        <v>22</v>
      </c>
      <c r="G393" s="7" t="s">
        <v>22</v>
      </c>
      <c r="H393" s="7" t="s">
        <v>22</v>
      </c>
    </row>
    <row r="394" spans="1:8" x14ac:dyDescent="0.3">
      <c r="A394" s="5" t="s">
        <v>90</v>
      </c>
      <c r="B394" s="5" t="s">
        <v>56</v>
      </c>
      <c r="C394" s="5" t="s">
        <v>57</v>
      </c>
      <c r="D394" s="8" t="s">
        <v>22</v>
      </c>
      <c r="E394" s="8" t="s">
        <v>22</v>
      </c>
      <c r="F394" s="8" t="s">
        <v>22</v>
      </c>
      <c r="G394" s="8" t="s">
        <v>22</v>
      </c>
      <c r="H394" s="8" t="s">
        <v>22</v>
      </c>
    </row>
    <row r="395" spans="1:8" x14ac:dyDescent="0.3">
      <c r="A395" s="5" t="s">
        <v>91</v>
      </c>
      <c r="B395" s="5" t="s">
        <v>34</v>
      </c>
      <c r="C395" s="5" t="s">
        <v>35</v>
      </c>
      <c r="D395" s="7" t="s">
        <v>22</v>
      </c>
      <c r="E395" s="7" t="s">
        <v>22</v>
      </c>
      <c r="F395" s="7" t="s">
        <v>22</v>
      </c>
      <c r="G395" s="7" t="s">
        <v>22</v>
      </c>
      <c r="H395" s="7" t="s">
        <v>22</v>
      </c>
    </row>
    <row r="396" spans="1:8" x14ac:dyDescent="0.3">
      <c r="A396" s="5" t="s">
        <v>91</v>
      </c>
      <c r="B396" s="5" t="s">
        <v>36</v>
      </c>
      <c r="C396" s="5" t="s">
        <v>37</v>
      </c>
      <c r="D396" s="8" t="s">
        <v>22</v>
      </c>
      <c r="E396" s="8" t="s">
        <v>22</v>
      </c>
      <c r="F396" s="8" t="s">
        <v>22</v>
      </c>
      <c r="G396" s="8" t="s">
        <v>22</v>
      </c>
      <c r="H396" s="8" t="s">
        <v>22</v>
      </c>
    </row>
    <row r="397" spans="1:8" x14ac:dyDescent="0.3">
      <c r="A397" s="5" t="s">
        <v>91</v>
      </c>
      <c r="B397" s="5" t="s">
        <v>38</v>
      </c>
      <c r="C397" s="5" t="s">
        <v>39</v>
      </c>
      <c r="D397" s="7" t="s">
        <v>22</v>
      </c>
      <c r="E397" s="7" t="s">
        <v>22</v>
      </c>
      <c r="F397" s="7" t="s">
        <v>22</v>
      </c>
      <c r="G397" s="7" t="s">
        <v>22</v>
      </c>
      <c r="H397" s="7" t="s">
        <v>22</v>
      </c>
    </row>
    <row r="398" spans="1:8" x14ac:dyDescent="0.3">
      <c r="A398" s="5" t="s">
        <v>91</v>
      </c>
      <c r="B398" s="5" t="s">
        <v>40</v>
      </c>
      <c r="C398" s="5" t="s">
        <v>41</v>
      </c>
      <c r="D398" s="8" t="s">
        <v>22</v>
      </c>
      <c r="E398" s="8" t="s">
        <v>22</v>
      </c>
      <c r="F398" s="8" t="s">
        <v>22</v>
      </c>
      <c r="G398" s="8" t="s">
        <v>22</v>
      </c>
      <c r="H398" s="8" t="s">
        <v>22</v>
      </c>
    </row>
    <row r="399" spans="1:8" x14ac:dyDescent="0.3">
      <c r="A399" s="5" t="s">
        <v>91</v>
      </c>
      <c r="B399" s="5" t="s">
        <v>42</v>
      </c>
      <c r="C399" s="5" t="s">
        <v>43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</row>
    <row r="400" spans="1:8" x14ac:dyDescent="0.3">
      <c r="A400" s="5" t="s">
        <v>91</v>
      </c>
      <c r="B400" s="5" t="s">
        <v>44</v>
      </c>
      <c r="C400" s="5" t="s">
        <v>45</v>
      </c>
      <c r="D400" s="8" t="s">
        <v>22</v>
      </c>
      <c r="E400" s="8" t="s">
        <v>22</v>
      </c>
      <c r="F400" s="8" t="s">
        <v>22</v>
      </c>
      <c r="G400" s="8" t="s">
        <v>22</v>
      </c>
      <c r="H400" s="8" t="s">
        <v>22</v>
      </c>
    </row>
    <row r="401" spans="1:8" x14ac:dyDescent="0.3">
      <c r="A401" s="5" t="s">
        <v>91</v>
      </c>
      <c r="B401" s="5" t="s">
        <v>46</v>
      </c>
      <c r="C401" s="5" t="s">
        <v>47</v>
      </c>
      <c r="D401" s="7" t="s">
        <v>22</v>
      </c>
      <c r="E401" s="7" t="s">
        <v>22</v>
      </c>
      <c r="F401" s="7" t="s">
        <v>22</v>
      </c>
      <c r="G401" s="7" t="s">
        <v>22</v>
      </c>
      <c r="H401" s="7" t="s">
        <v>22</v>
      </c>
    </row>
    <row r="402" spans="1:8" x14ac:dyDescent="0.3">
      <c r="A402" s="5" t="s">
        <v>91</v>
      </c>
      <c r="B402" s="5" t="s">
        <v>48</v>
      </c>
      <c r="C402" s="5" t="s">
        <v>49</v>
      </c>
      <c r="D402" s="8" t="s">
        <v>22</v>
      </c>
      <c r="E402" s="8" t="s">
        <v>22</v>
      </c>
      <c r="F402" s="8" t="s">
        <v>22</v>
      </c>
      <c r="G402" s="8" t="s">
        <v>22</v>
      </c>
      <c r="H402" s="8" t="s">
        <v>22</v>
      </c>
    </row>
    <row r="403" spans="1:8" x14ac:dyDescent="0.3">
      <c r="A403" s="5" t="s">
        <v>91</v>
      </c>
      <c r="B403" s="5" t="s">
        <v>50</v>
      </c>
      <c r="C403" s="5" t="s">
        <v>51</v>
      </c>
      <c r="D403" s="7" t="s">
        <v>22</v>
      </c>
      <c r="E403" s="7" t="s">
        <v>22</v>
      </c>
      <c r="F403" s="7" t="s">
        <v>22</v>
      </c>
      <c r="G403" s="7" t="s">
        <v>22</v>
      </c>
      <c r="H403" s="7" t="s">
        <v>22</v>
      </c>
    </row>
    <row r="404" spans="1:8" x14ac:dyDescent="0.3">
      <c r="A404" s="5" t="s">
        <v>91</v>
      </c>
      <c r="B404" s="5" t="s">
        <v>52</v>
      </c>
      <c r="C404" s="5" t="s">
        <v>53</v>
      </c>
      <c r="D404" s="8" t="s">
        <v>22</v>
      </c>
      <c r="E404" s="8" t="s">
        <v>22</v>
      </c>
      <c r="F404" s="8" t="s">
        <v>22</v>
      </c>
      <c r="G404" s="8" t="s">
        <v>22</v>
      </c>
      <c r="H404" s="8" t="s">
        <v>22</v>
      </c>
    </row>
    <row r="405" spans="1:8" x14ac:dyDescent="0.3">
      <c r="A405" s="5" t="s">
        <v>91</v>
      </c>
      <c r="B405" s="5" t="s">
        <v>54</v>
      </c>
      <c r="C405" s="5" t="s">
        <v>55</v>
      </c>
      <c r="D405" s="7" t="s">
        <v>22</v>
      </c>
      <c r="E405" s="7" t="s">
        <v>22</v>
      </c>
      <c r="F405" s="7" t="s">
        <v>22</v>
      </c>
      <c r="G405" s="7" t="s">
        <v>22</v>
      </c>
      <c r="H405" s="7" t="s">
        <v>22</v>
      </c>
    </row>
    <row r="406" spans="1:8" x14ac:dyDescent="0.3">
      <c r="A406" s="5" t="s">
        <v>91</v>
      </c>
      <c r="B406" s="5" t="s">
        <v>56</v>
      </c>
      <c r="C406" s="5" t="s">
        <v>57</v>
      </c>
      <c r="D406" s="8" t="s">
        <v>22</v>
      </c>
      <c r="E406" s="8" t="s">
        <v>22</v>
      </c>
      <c r="F406" s="8" t="s">
        <v>22</v>
      </c>
      <c r="G406" s="8" t="s">
        <v>22</v>
      </c>
      <c r="H406" s="8" t="s">
        <v>22</v>
      </c>
    </row>
    <row r="407" spans="1:8" x14ac:dyDescent="0.3">
      <c r="A407" s="5" t="s">
        <v>92</v>
      </c>
      <c r="B407" s="5" t="s">
        <v>34</v>
      </c>
      <c r="C407" s="5" t="s">
        <v>35</v>
      </c>
      <c r="D407" s="7" t="s">
        <v>22</v>
      </c>
      <c r="E407" s="7" t="s">
        <v>22</v>
      </c>
      <c r="F407" s="7" t="s">
        <v>22</v>
      </c>
      <c r="G407" s="7" t="s">
        <v>22</v>
      </c>
      <c r="H407" s="7" t="s">
        <v>22</v>
      </c>
    </row>
    <row r="408" spans="1:8" x14ac:dyDescent="0.3">
      <c r="A408" s="5" t="s">
        <v>92</v>
      </c>
      <c r="B408" s="5" t="s">
        <v>36</v>
      </c>
      <c r="C408" s="5" t="s">
        <v>37</v>
      </c>
      <c r="D408" s="8" t="s">
        <v>22</v>
      </c>
      <c r="E408" s="8" t="s">
        <v>22</v>
      </c>
      <c r="F408" s="8" t="s">
        <v>22</v>
      </c>
      <c r="G408" s="8" t="s">
        <v>22</v>
      </c>
      <c r="H408" s="8" t="s">
        <v>22</v>
      </c>
    </row>
    <row r="409" spans="1:8" x14ac:dyDescent="0.3">
      <c r="A409" s="5" t="s">
        <v>92</v>
      </c>
      <c r="B409" s="5" t="s">
        <v>38</v>
      </c>
      <c r="C409" s="5" t="s">
        <v>39</v>
      </c>
      <c r="D409" s="7" t="s">
        <v>22</v>
      </c>
      <c r="E409" s="7" t="s">
        <v>22</v>
      </c>
      <c r="F409" s="7" t="s">
        <v>22</v>
      </c>
      <c r="G409" s="7" t="s">
        <v>22</v>
      </c>
      <c r="H409" s="7" t="s">
        <v>22</v>
      </c>
    </row>
    <row r="410" spans="1:8" x14ac:dyDescent="0.3">
      <c r="A410" s="5" t="s">
        <v>92</v>
      </c>
      <c r="B410" s="5" t="s">
        <v>40</v>
      </c>
      <c r="C410" s="5" t="s">
        <v>41</v>
      </c>
      <c r="D410" s="8" t="s">
        <v>22</v>
      </c>
      <c r="E410" s="8" t="s">
        <v>22</v>
      </c>
      <c r="F410" s="8" t="s">
        <v>22</v>
      </c>
      <c r="G410" s="8" t="s">
        <v>22</v>
      </c>
      <c r="H410" s="8" t="s">
        <v>22</v>
      </c>
    </row>
    <row r="411" spans="1:8" x14ac:dyDescent="0.3">
      <c r="A411" s="5" t="s">
        <v>92</v>
      </c>
      <c r="B411" s="5" t="s">
        <v>42</v>
      </c>
      <c r="C411" s="5" t="s">
        <v>43</v>
      </c>
      <c r="D411" s="7" t="s">
        <v>22</v>
      </c>
      <c r="E411" s="7" t="s">
        <v>22</v>
      </c>
      <c r="F411" s="7" t="s">
        <v>22</v>
      </c>
      <c r="G411" s="7" t="s">
        <v>22</v>
      </c>
      <c r="H411" s="7" t="s">
        <v>22</v>
      </c>
    </row>
    <row r="412" spans="1:8" x14ac:dyDescent="0.3">
      <c r="A412" s="5" t="s">
        <v>92</v>
      </c>
      <c r="B412" s="5" t="s">
        <v>44</v>
      </c>
      <c r="C412" s="5" t="s">
        <v>45</v>
      </c>
      <c r="D412" s="8" t="s">
        <v>22</v>
      </c>
      <c r="E412" s="8" t="s">
        <v>22</v>
      </c>
      <c r="F412" s="8" t="s">
        <v>22</v>
      </c>
      <c r="G412" s="8" t="s">
        <v>22</v>
      </c>
      <c r="H412" s="8" t="s">
        <v>22</v>
      </c>
    </row>
    <row r="413" spans="1:8" x14ac:dyDescent="0.3">
      <c r="A413" s="5" t="s">
        <v>92</v>
      </c>
      <c r="B413" s="5" t="s">
        <v>46</v>
      </c>
      <c r="C413" s="5" t="s">
        <v>47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</row>
    <row r="414" spans="1:8" x14ac:dyDescent="0.3">
      <c r="A414" s="5" t="s">
        <v>92</v>
      </c>
      <c r="B414" s="5" t="s">
        <v>48</v>
      </c>
      <c r="C414" s="5" t="s">
        <v>49</v>
      </c>
      <c r="D414" s="8" t="s">
        <v>22</v>
      </c>
      <c r="E414" s="8" t="s">
        <v>22</v>
      </c>
      <c r="F414" s="8" t="s">
        <v>22</v>
      </c>
      <c r="G414" s="8" t="s">
        <v>22</v>
      </c>
      <c r="H414" s="8" t="s">
        <v>22</v>
      </c>
    </row>
    <row r="415" spans="1:8" x14ac:dyDescent="0.3">
      <c r="A415" s="5" t="s">
        <v>92</v>
      </c>
      <c r="B415" s="5" t="s">
        <v>50</v>
      </c>
      <c r="C415" s="5" t="s">
        <v>51</v>
      </c>
      <c r="D415" s="7" t="s">
        <v>22</v>
      </c>
      <c r="E415" s="7" t="s">
        <v>22</v>
      </c>
      <c r="F415" s="7" t="s">
        <v>22</v>
      </c>
      <c r="G415" s="7" t="s">
        <v>22</v>
      </c>
      <c r="H415" s="7" t="s">
        <v>22</v>
      </c>
    </row>
    <row r="416" spans="1:8" x14ac:dyDescent="0.3">
      <c r="A416" s="5" t="s">
        <v>92</v>
      </c>
      <c r="B416" s="5" t="s">
        <v>52</v>
      </c>
      <c r="C416" s="5" t="s">
        <v>53</v>
      </c>
      <c r="D416" s="8" t="s">
        <v>22</v>
      </c>
      <c r="E416" s="8" t="s">
        <v>22</v>
      </c>
      <c r="F416" s="8" t="s">
        <v>22</v>
      </c>
      <c r="G416" s="8" t="s">
        <v>22</v>
      </c>
      <c r="H416" s="8" t="s">
        <v>22</v>
      </c>
    </row>
    <row r="417" spans="1:8" x14ac:dyDescent="0.3">
      <c r="A417" s="5" t="s">
        <v>92</v>
      </c>
      <c r="B417" s="5" t="s">
        <v>54</v>
      </c>
      <c r="C417" s="5" t="s">
        <v>55</v>
      </c>
      <c r="D417" s="7" t="s">
        <v>22</v>
      </c>
      <c r="E417" s="7" t="s">
        <v>22</v>
      </c>
      <c r="F417" s="7" t="s">
        <v>22</v>
      </c>
      <c r="G417" s="7" t="s">
        <v>22</v>
      </c>
      <c r="H417" s="7" t="s">
        <v>22</v>
      </c>
    </row>
    <row r="418" spans="1:8" x14ac:dyDescent="0.3">
      <c r="A418" s="5" t="s">
        <v>92</v>
      </c>
      <c r="B418" s="5" t="s">
        <v>56</v>
      </c>
      <c r="C418" s="5" t="s">
        <v>57</v>
      </c>
      <c r="D418" s="8" t="s">
        <v>22</v>
      </c>
      <c r="E418" s="8" t="s">
        <v>22</v>
      </c>
      <c r="F418" s="8" t="s">
        <v>22</v>
      </c>
      <c r="G418" s="8" t="s">
        <v>22</v>
      </c>
      <c r="H418" s="8" t="s">
        <v>22</v>
      </c>
    </row>
    <row r="420" spans="1:8" x14ac:dyDescent="0.3"/>
  </sheetData>
  <mergeCells count="1">
    <mergeCell ref="A9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24AC-FD76-4B79-A4CF-147648B642AA}">
  <dimension ref="A1:G349"/>
  <sheetViews>
    <sheetView tabSelected="1" zoomScale="86" workbookViewId="0">
      <selection activeCell="I13" sqref="I13"/>
    </sheetView>
  </sheetViews>
  <sheetFormatPr defaultRowHeight="14.4" x14ac:dyDescent="0.3"/>
  <sheetData>
    <row r="1" spans="1:7" x14ac:dyDescent="0.3">
      <c r="C1" t="s">
        <v>135</v>
      </c>
      <c r="D1" t="s">
        <v>136</v>
      </c>
      <c r="E1" t="s">
        <v>137</v>
      </c>
      <c r="F1" t="s">
        <v>138</v>
      </c>
      <c r="G1" t="s">
        <v>139</v>
      </c>
    </row>
    <row r="2" spans="1:7" x14ac:dyDescent="0.3">
      <c r="A2" s="5" t="s">
        <v>141</v>
      </c>
      <c r="B2" s="5" t="s">
        <v>34</v>
      </c>
      <c r="C2">
        <v>0.20775193798449612</v>
      </c>
      <c r="D2">
        <v>0.19534883720930232</v>
      </c>
      <c r="E2">
        <v>0.20155038759689922</v>
      </c>
      <c r="F2">
        <v>0.19689922480620156</v>
      </c>
      <c r="G2">
        <v>0.19844961240310077</v>
      </c>
    </row>
    <row r="3" spans="1:7" x14ac:dyDescent="0.3">
      <c r="A3" s="5" t="s">
        <v>141</v>
      </c>
      <c r="B3" s="5" t="s">
        <v>36</v>
      </c>
      <c r="C3">
        <v>0.26605504587155965</v>
      </c>
      <c r="D3">
        <v>0.20183486238532111</v>
      </c>
      <c r="E3">
        <v>0.19266055045871561</v>
      </c>
      <c r="F3">
        <v>0.1834862385321101</v>
      </c>
      <c r="G3">
        <v>0.15596330275229359</v>
      </c>
    </row>
    <row r="4" spans="1:7" x14ac:dyDescent="0.3">
      <c r="A4" s="5" t="s">
        <v>141</v>
      </c>
      <c r="B4" s="5" t="s">
        <v>38</v>
      </c>
      <c r="C4">
        <v>0.1553398058252427</v>
      </c>
      <c r="D4">
        <v>0.1553398058252427</v>
      </c>
      <c r="E4">
        <v>0.1941747572815534</v>
      </c>
      <c r="F4">
        <v>0.22330097087378642</v>
      </c>
      <c r="G4">
        <v>0.27184466019417475</v>
      </c>
    </row>
    <row r="5" spans="1:7" x14ac:dyDescent="0.3">
      <c r="A5" s="5" t="s">
        <v>141</v>
      </c>
      <c r="B5" s="5" t="s">
        <v>40</v>
      </c>
      <c r="C5">
        <v>0.26451612903225807</v>
      </c>
      <c r="D5">
        <v>0.22387096774193549</v>
      </c>
      <c r="E5">
        <v>0.1967741935483871</v>
      </c>
      <c r="F5">
        <v>0.16387096774193549</v>
      </c>
      <c r="G5">
        <v>0.15096774193548387</v>
      </c>
    </row>
    <row r="6" spans="1:7" x14ac:dyDescent="0.3">
      <c r="A6" s="5" t="s">
        <v>141</v>
      </c>
      <c r="B6" s="5" t="s">
        <v>42</v>
      </c>
      <c r="C6">
        <v>0.13584905660377358</v>
      </c>
      <c r="D6">
        <v>0.15094339622641509</v>
      </c>
      <c r="E6">
        <v>0.19622641509433963</v>
      </c>
      <c r="F6">
        <v>0.25283018867924528</v>
      </c>
      <c r="G6">
        <v>0.26415094339622641</v>
      </c>
    </row>
    <row r="7" spans="1:7" x14ac:dyDescent="0.3">
      <c r="A7" s="5" t="s">
        <v>141</v>
      </c>
      <c r="B7" s="5" t="s">
        <v>44</v>
      </c>
      <c r="C7">
        <v>0.20512820512820512</v>
      </c>
      <c r="D7">
        <v>0.21367521367521367</v>
      </c>
      <c r="E7">
        <v>0.21794871794871795</v>
      </c>
      <c r="F7">
        <v>0.18803418803418803</v>
      </c>
      <c r="G7">
        <v>0.1752136752136752</v>
      </c>
    </row>
    <row r="8" spans="1:7" x14ac:dyDescent="0.3">
      <c r="A8" s="5" t="s">
        <v>141</v>
      </c>
      <c r="B8" s="5" t="s">
        <v>46</v>
      </c>
      <c r="C8">
        <v>0.1297208538587849</v>
      </c>
      <c r="D8">
        <v>0.19704433497536947</v>
      </c>
      <c r="E8">
        <v>0.18555008210180624</v>
      </c>
      <c r="F8">
        <v>0.2413793103448276</v>
      </c>
      <c r="G8">
        <v>0.24630541871921183</v>
      </c>
    </row>
    <row r="9" spans="1:7" x14ac:dyDescent="0.3">
      <c r="A9" s="5" t="s">
        <v>141</v>
      </c>
      <c r="B9" s="5" t="s">
        <v>48</v>
      </c>
      <c r="C9">
        <v>0.26250000000000001</v>
      </c>
      <c r="D9">
        <v>0.21875</v>
      </c>
      <c r="E9">
        <v>0.2</v>
      </c>
      <c r="F9">
        <v>0.16875000000000001</v>
      </c>
      <c r="G9">
        <v>0.15</v>
      </c>
    </row>
    <row r="10" spans="1:7" x14ac:dyDescent="0.3">
      <c r="A10" s="5" t="s">
        <v>141</v>
      </c>
      <c r="B10" s="5" t="s">
        <v>50</v>
      </c>
      <c r="C10">
        <v>0.14615384615384616</v>
      </c>
      <c r="D10">
        <v>0.18205128205128204</v>
      </c>
      <c r="E10">
        <v>0.22564102564102564</v>
      </c>
      <c r="F10">
        <v>0.2153846153846154</v>
      </c>
      <c r="G10">
        <v>0.23076923076923078</v>
      </c>
    </row>
    <row r="11" spans="1:7" x14ac:dyDescent="0.3">
      <c r="A11" s="5" t="s">
        <v>141</v>
      </c>
      <c r="B11" s="5" t="s">
        <v>52</v>
      </c>
      <c r="C11">
        <v>0.17391304347826086</v>
      </c>
      <c r="D11">
        <v>0.13043478260869565</v>
      </c>
      <c r="E11">
        <v>0.13043478260869565</v>
      </c>
      <c r="F11">
        <v>0.21739130434782608</v>
      </c>
      <c r="G11">
        <v>0.34782608695652173</v>
      </c>
    </row>
    <row r="12" spans="1:7" x14ac:dyDescent="0.3">
      <c r="A12" s="5" t="s">
        <v>141</v>
      </c>
      <c r="B12" s="5" t="s">
        <v>54</v>
      </c>
      <c r="C12">
        <v>0.1310344827586207</v>
      </c>
      <c r="D12">
        <v>0.16896551724137931</v>
      </c>
      <c r="E12">
        <v>0.2103448275862069</v>
      </c>
      <c r="F12">
        <v>0.23448275862068965</v>
      </c>
      <c r="G12">
        <v>0.25517241379310346</v>
      </c>
    </row>
    <row r="13" spans="1:7" x14ac:dyDescent="0.3">
      <c r="A13" s="5" t="s">
        <v>141</v>
      </c>
      <c r="B13" s="5" t="s">
        <v>56</v>
      </c>
      <c r="C13">
        <v>0.17692307692307693</v>
      </c>
      <c r="D13">
        <v>0.2</v>
      </c>
      <c r="E13">
        <v>0.20192307692307693</v>
      </c>
      <c r="F13">
        <v>0.21153846153846154</v>
      </c>
      <c r="G13">
        <v>0.20961538461538462</v>
      </c>
    </row>
    <row r="14" spans="1:7" x14ac:dyDescent="0.3">
      <c r="A14" s="5" t="s">
        <v>142</v>
      </c>
      <c r="B14" s="5" t="s">
        <v>34</v>
      </c>
      <c r="C14">
        <v>0.24495476687543494</v>
      </c>
      <c r="D14">
        <v>0.21920668058455114</v>
      </c>
      <c r="E14">
        <v>0.20180932498260265</v>
      </c>
      <c r="F14">
        <v>0.18162839248434237</v>
      </c>
      <c r="G14">
        <v>0.1524008350730689</v>
      </c>
    </row>
    <row r="15" spans="1:7" x14ac:dyDescent="0.3">
      <c r="A15" s="5" t="s">
        <v>142</v>
      </c>
      <c r="B15" s="5" t="s">
        <v>36</v>
      </c>
      <c r="C15">
        <v>0.1256544502617801</v>
      </c>
      <c r="D15">
        <v>0.17801047120418848</v>
      </c>
      <c r="E15">
        <v>0.21989528795811519</v>
      </c>
      <c r="F15">
        <v>0.22513089005235601</v>
      </c>
      <c r="G15">
        <v>0.2513089005235602</v>
      </c>
    </row>
    <row r="16" spans="1:7" x14ac:dyDescent="0.3">
      <c r="A16" s="5" t="s">
        <v>142</v>
      </c>
      <c r="B16" s="5" t="s">
        <v>38</v>
      </c>
      <c r="C16">
        <v>0.10204081632653061</v>
      </c>
      <c r="D16">
        <v>0.14965986394557823</v>
      </c>
      <c r="E16">
        <v>0.19047619047619047</v>
      </c>
      <c r="F16">
        <v>0.24489795918367346</v>
      </c>
      <c r="G16">
        <v>0.31292517006802723</v>
      </c>
    </row>
    <row r="17" spans="1:7" x14ac:dyDescent="0.3">
      <c r="A17" s="5" t="s">
        <v>142</v>
      </c>
      <c r="B17" s="5" t="s">
        <v>40</v>
      </c>
      <c r="C17">
        <v>0.22608200455580865</v>
      </c>
      <c r="D17">
        <v>0.2203872437357631</v>
      </c>
      <c r="E17">
        <v>0.20558086560364464</v>
      </c>
      <c r="F17">
        <v>0.18507972665148065</v>
      </c>
      <c r="G17">
        <v>0.16287015945330297</v>
      </c>
    </row>
    <row r="18" spans="1:7" x14ac:dyDescent="0.3">
      <c r="A18" s="5" t="s">
        <v>142</v>
      </c>
      <c r="B18" s="5" t="s">
        <v>42</v>
      </c>
      <c r="C18">
        <v>0.15976331360946747</v>
      </c>
      <c r="D18">
        <v>0.18343195266272189</v>
      </c>
      <c r="E18">
        <v>0.17751479289940827</v>
      </c>
      <c r="F18">
        <v>0.22485207100591717</v>
      </c>
      <c r="G18">
        <v>0.25443786982248523</v>
      </c>
    </row>
    <row r="19" spans="1:7" x14ac:dyDescent="0.3">
      <c r="A19" s="5" t="s">
        <v>142</v>
      </c>
      <c r="B19" s="5" t="s">
        <v>44</v>
      </c>
      <c r="C19">
        <v>0.27816901408450706</v>
      </c>
      <c r="D19">
        <v>0.22887323943661972</v>
      </c>
      <c r="E19">
        <v>0.20070422535211269</v>
      </c>
      <c r="F19">
        <v>0.15845070422535212</v>
      </c>
      <c r="G19">
        <v>0.13380281690140844</v>
      </c>
    </row>
    <row r="20" spans="1:7" x14ac:dyDescent="0.3">
      <c r="A20" s="5" t="s">
        <v>142</v>
      </c>
      <c r="B20" s="5" t="s">
        <v>46</v>
      </c>
      <c r="C20">
        <v>6.0498220640569395E-2</v>
      </c>
      <c r="D20">
        <v>0.13167259786476868</v>
      </c>
      <c r="E20">
        <v>0.20284697508896798</v>
      </c>
      <c r="F20">
        <v>0.27758007117437722</v>
      </c>
      <c r="G20">
        <v>0.32740213523131673</v>
      </c>
    </row>
    <row r="21" spans="1:7" x14ac:dyDescent="0.3">
      <c r="A21" s="5" t="s">
        <v>142</v>
      </c>
      <c r="B21" s="5" t="s">
        <v>48</v>
      </c>
      <c r="C21">
        <v>0.16</v>
      </c>
      <c r="D21">
        <v>0.185</v>
      </c>
      <c r="E21">
        <v>0.215</v>
      </c>
      <c r="F21">
        <v>0.23</v>
      </c>
      <c r="G21">
        <v>0.21</v>
      </c>
    </row>
    <row r="22" spans="1:7" x14ac:dyDescent="0.3">
      <c r="A22" s="5" t="s">
        <v>142</v>
      </c>
      <c r="B22" s="5" t="s">
        <v>50</v>
      </c>
      <c r="C22">
        <v>0.11428571428571428</v>
      </c>
      <c r="D22">
        <v>0.13714285714285715</v>
      </c>
      <c r="E22">
        <v>0.1657142857142857</v>
      </c>
      <c r="F22">
        <v>0.24</v>
      </c>
      <c r="G22">
        <v>0.34285714285714286</v>
      </c>
    </row>
    <row r="23" spans="1:7" x14ac:dyDescent="0.3">
      <c r="A23" s="5" t="s">
        <v>142</v>
      </c>
      <c r="B23" s="5" t="s">
        <v>52</v>
      </c>
      <c r="C23">
        <v>0</v>
      </c>
      <c r="D23">
        <v>6.25E-2</v>
      </c>
      <c r="E23">
        <v>0.125</v>
      </c>
      <c r="F23">
        <v>0.3125</v>
      </c>
      <c r="G23">
        <v>0.5</v>
      </c>
    </row>
    <row r="24" spans="1:7" x14ac:dyDescent="0.3">
      <c r="A24" s="5" t="s">
        <v>142</v>
      </c>
      <c r="B24" s="5" t="s">
        <v>54</v>
      </c>
      <c r="C24">
        <v>7.2289156626506021E-2</v>
      </c>
      <c r="D24">
        <v>0.10843373493975904</v>
      </c>
      <c r="E24">
        <v>0.16265060240963855</v>
      </c>
      <c r="F24">
        <v>0.25301204819277107</v>
      </c>
      <c r="G24">
        <v>0.40361445783132532</v>
      </c>
    </row>
    <row r="25" spans="1:7" x14ac:dyDescent="0.3">
      <c r="A25" s="5" t="s">
        <v>142</v>
      </c>
      <c r="B25" s="5" t="s">
        <v>56</v>
      </c>
      <c r="C25">
        <v>0.14204545454545456</v>
      </c>
      <c r="D25">
        <v>0.17045454545454544</v>
      </c>
      <c r="E25">
        <v>0.1875</v>
      </c>
      <c r="F25">
        <v>0.21590909090909091</v>
      </c>
      <c r="G25">
        <v>0.28409090909090912</v>
      </c>
    </row>
    <row r="26" spans="1:7" x14ac:dyDescent="0.3">
      <c r="A26" s="5" t="s">
        <v>143</v>
      </c>
      <c r="B26" s="5" t="s">
        <v>34</v>
      </c>
      <c r="C26">
        <v>0.21723189734188816</v>
      </c>
      <c r="D26">
        <v>0.21264894592117323</v>
      </c>
      <c r="E26">
        <v>0.20806599450045829</v>
      </c>
      <c r="F26">
        <v>0.19065077910174152</v>
      </c>
      <c r="G26">
        <v>0.17140238313473877</v>
      </c>
    </row>
    <row r="27" spans="1:7" x14ac:dyDescent="0.3">
      <c r="A27" s="5" t="s">
        <v>143</v>
      </c>
      <c r="B27" s="5" t="s">
        <v>36</v>
      </c>
      <c r="C27">
        <v>0.17197452229299362</v>
      </c>
      <c r="D27">
        <v>0.21656050955414013</v>
      </c>
      <c r="E27">
        <v>0.2356687898089172</v>
      </c>
      <c r="F27">
        <v>0.20382165605095542</v>
      </c>
      <c r="G27">
        <v>0.17197452229299362</v>
      </c>
    </row>
    <row r="28" spans="1:7" x14ac:dyDescent="0.3">
      <c r="A28" s="5" t="s">
        <v>143</v>
      </c>
      <c r="B28" s="5" t="s">
        <v>38</v>
      </c>
      <c r="C28">
        <v>0.15261044176706828</v>
      </c>
      <c r="D28">
        <v>0.16867469879518071</v>
      </c>
      <c r="E28">
        <v>0.18875502008032127</v>
      </c>
      <c r="F28">
        <v>0.23694779116465864</v>
      </c>
      <c r="G28">
        <v>0.25301204819277107</v>
      </c>
    </row>
    <row r="29" spans="1:7" x14ac:dyDescent="0.3">
      <c r="A29" s="5" t="s">
        <v>143</v>
      </c>
      <c r="B29" s="5" t="s">
        <v>40</v>
      </c>
      <c r="C29">
        <v>0.2732463295269168</v>
      </c>
      <c r="D29">
        <v>0.23164763458401305</v>
      </c>
      <c r="E29">
        <v>0.19494290375203915</v>
      </c>
      <c r="F29">
        <v>0.16313213703099511</v>
      </c>
      <c r="G29">
        <v>0.13703099510603589</v>
      </c>
    </row>
    <row r="30" spans="1:7" x14ac:dyDescent="0.3">
      <c r="A30" s="5" t="s">
        <v>143</v>
      </c>
      <c r="B30" s="5" t="s">
        <v>42</v>
      </c>
      <c r="C30">
        <v>0.16</v>
      </c>
      <c r="D30">
        <v>0.18666666666666668</v>
      </c>
      <c r="E30">
        <v>0.19333333333333333</v>
      </c>
      <c r="F30">
        <v>0.21333333333333335</v>
      </c>
      <c r="G30">
        <v>0.24666666666666667</v>
      </c>
    </row>
    <row r="31" spans="1:7" x14ac:dyDescent="0.3">
      <c r="A31" s="5" t="s">
        <v>143</v>
      </c>
      <c r="B31" s="5" t="s">
        <v>44</v>
      </c>
      <c r="C31">
        <v>0.2361111111111111</v>
      </c>
      <c r="D31">
        <v>0.21527777777777779</v>
      </c>
      <c r="E31">
        <v>0.21527777777777779</v>
      </c>
      <c r="F31">
        <v>0.15972222222222221</v>
      </c>
      <c r="G31">
        <v>0.1736111111111111</v>
      </c>
    </row>
    <row r="32" spans="1:7" x14ac:dyDescent="0.3">
      <c r="A32" s="5" t="s">
        <v>143</v>
      </c>
      <c r="B32" s="5" t="s">
        <v>46</v>
      </c>
      <c r="C32">
        <v>9.368635437881874E-2</v>
      </c>
      <c r="D32">
        <v>0.16293279022403259</v>
      </c>
      <c r="E32">
        <v>0.21181262729124237</v>
      </c>
      <c r="F32">
        <v>0.25254582484725052</v>
      </c>
      <c r="G32">
        <v>0.27902240325865579</v>
      </c>
    </row>
    <row r="33" spans="1:7" x14ac:dyDescent="0.3">
      <c r="A33" s="5" t="s">
        <v>143</v>
      </c>
      <c r="B33" s="5" t="s">
        <v>48</v>
      </c>
      <c r="C33">
        <v>0.20353982300884957</v>
      </c>
      <c r="D33">
        <v>0.21238938053097345</v>
      </c>
      <c r="E33">
        <v>0.19911504424778761</v>
      </c>
      <c r="F33">
        <v>0.20353982300884957</v>
      </c>
      <c r="G33">
        <v>0.18141592920353983</v>
      </c>
    </row>
    <row r="34" spans="1:7" x14ac:dyDescent="0.3">
      <c r="A34" s="5" t="s">
        <v>143</v>
      </c>
      <c r="B34" s="5" t="s">
        <v>50</v>
      </c>
      <c r="C34">
        <v>0.17197452229299362</v>
      </c>
      <c r="D34">
        <v>0.17409766454352441</v>
      </c>
      <c r="E34">
        <v>0.19957537154989385</v>
      </c>
      <c r="F34">
        <v>0.20806794055201699</v>
      </c>
      <c r="G34">
        <v>0.24628450106157113</v>
      </c>
    </row>
    <row r="35" spans="1:7" x14ac:dyDescent="0.3">
      <c r="A35" s="5" t="s">
        <v>143</v>
      </c>
      <c r="B35" s="5" t="s">
        <v>52</v>
      </c>
      <c r="C35">
        <v>0.08</v>
      </c>
      <c r="D35">
        <v>0.12</v>
      </c>
      <c r="E35">
        <v>0.12</v>
      </c>
      <c r="F35">
        <v>0.28000000000000003</v>
      </c>
      <c r="G35">
        <v>0.4</v>
      </c>
    </row>
    <row r="36" spans="1:7" x14ac:dyDescent="0.3">
      <c r="A36" s="5" t="s">
        <v>143</v>
      </c>
      <c r="B36" s="5" t="s">
        <v>54</v>
      </c>
      <c r="C36">
        <v>0.14925373134328357</v>
      </c>
      <c r="D36">
        <v>0.15298507462686567</v>
      </c>
      <c r="E36">
        <v>0.17164179104477612</v>
      </c>
      <c r="F36">
        <v>0.23507462686567165</v>
      </c>
      <c r="G36">
        <v>0.29104477611940299</v>
      </c>
    </row>
    <row r="37" spans="1:7" x14ac:dyDescent="0.3">
      <c r="A37" s="5" t="s">
        <v>143</v>
      </c>
      <c r="B37" s="5" t="s">
        <v>56</v>
      </c>
      <c r="C37">
        <v>0.18820224719101122</v>
      </c>
      <c r="D37">
        <v>0.18820224719101122</v>
      </c>
      <c r="E37">
        <v>0.19662921348314608</v>
      </c>
      <c r="F37">
        <v>0.21629213483146068</v>
      </c>
      <c r="G37">
        <v>0.21067415730337077</v>
      </c>
    </row>
    <row r="38" spans="1:7" x14ac:dyDescent="0.3">
      <c r="A38" s="5" t="s">
        <v>144</v>
      </c>
      <c r="B38" s="5" t="s">
        <v>34</v>
      </c>
      <c r="C38">
        <v>0.20330578512396694</v>
      </c>
      <c r="D38">
        <v>0.2</v>
      </c>
      <c r="E38">
        <v>0.19504132231404958</v>
      </c>
      <c r="F38">
        <v>0.21157024793388429</v>
      </c>
      <c r="G38">
        <v>0.19008264462809918</v>
      </c>
    </row>
    <row r="39" spans="1:7" x14ac:dyDescent="0.3">
      <c r="A39" s="5" t="s">
        <v>144</v>
      </c>
      <c r="B39" s="5" t="s">
        <v>36</v>
      </c>
      <c r="C39">
        <v>0.25409836065573771</v>
      </c>
      <c r="D39">
        <v>0.21311475409836064</v>
      </c>
      <c r="E39">
        <v>0.18032786885245902</v>
      </c>
      <c r="F39">
        <v>0.18852459016393441</v>
      </c>
      <c r="G39">
        <v>0.16393442622950818</v>
      </c>
    </row>
    <row r="40" spans="1:7" x14ac:dyDescent="0.3">
      <c r="A40" s="5" t="s">
        <v>144</v>
      </c>
      <c r="B40" s="5" t="s">
        <v>38</v>
      </c>
      <c r="C40">
        <v>0.20304568527918782</v>
      </c>
      <c r="D40">
        <v>0.17766497461928935</v>
      </c>
      <c r="E40">
        <v>0.18781725888324874</v>
      </c>
      <c r="F40">
        <v>0.18274111675126903</v>
      </c>
      <c r="G40">
        <v>0.24873096446700507</v>
      </c>
    </row>
    <row r="41" spans="1:7" x14ac:dyDescent="0.3">
      <c r="A41" s="5" t="s">
        <v>144</v>
      </c>
      <c r="B41" s="5" t="s">
        <v>40</v>
      </c>
      <c r="C41">
        <v>0.25132743362831861</v>
      </c>
      <c r="D41">
        <v>0.21002949852507374</v>
      </c>
      <c r="E41">
        <v>0.18997050147492625</v>
      </c>
      <c r="F41">
        <v>0.17463126843657817</v>
      </c>
      <c r="G41">
        <v>0.17404129793510326</v>
      </c>
    </row>
    <row r="42" spans="1:7" x14ac:dyDescent="0.3">
      <c r="A42" s="5" t="s">
        <v>144</v>
      </c>
      <c r="B42" s="5" t="s">
        <v>42</v>
      </c>
      <c r="C42">
        <v>0.14130434782608695</v>
      </c>
      <c r="D42">
        <v>0.22463768115942029</v>
      </c>
      <c r="E42">
        <v>0.19927536231884058</v>
      </c>
      <c r="F42">
        <v>0.21376811594202899</v>
      </c>
      <c r="G42">
        <v>0.2210144927536232</v>
      </c>
    </row>
    <row r="43" spans="1:7" x14ac:dyDescent="0.3">
      <c r="A43" s="5" t="s">
        <v>144</v>
      </c>
      <c r="B43" s="5" t="s">
        <v>44</v>
      </c>
      <c r="C43">
        <v>0.23846153846153847</v>
      </c>
      <c r="D43">
        <v>0.23076923076923078</v>
      </c>
      <c r="E43">
        <v>0.2153846153846154</v>
      </c>
      <c r="F43">
        <v>0.18461538461538463</v>
      </c>
      <c r="G43">
        <v>0.13076923076923078</v>
      </c>
    </row>
    <row r="44" spans="1:7" x14ac:dyDescent="0.3">
      <c r="A44" s="5" t="s">
        <v>144</v>
      </c>
      <c r="B44" s="5" t="s">
        <v>46</v>
      </c>
      <c r="C44">
        <v>9.8865478119935166E-2</v>
      </c>
      <c r="D44">
        <v>0.19935170178282011</v>
      </c>
      <c r="E44">
        <v>0.22204213938411668</v>
      </c>
      <c r="F44">
        <v>0.23662884927066449</v>
      </c>
      <c r="G44">
        <v>0.24311183144246354</v>
      </c>
    </row>
    <row r="45" spans="1:7" x14ac:dyDescent="0.3">
      <c r="A45" s="5" t="s">
        <v>144</v>
      </c>
      <c r="B45" s="5" t="s">
        <v>48</v>
      </c>
      <c r="C45">
        <v>0.24812030075187969</v>
      </c>
      <c r="D45">
        <v>0.19548872180451127</v>
      </c>
      <c r="E45">
        <v>0.20300751879699247</v>
      </c>
      <c r="F45">
        <v>0.19548872180451127</v>
      </c>
      <c r="G45">
        <v>0.15789473684210525</v>
      </c>
    </row>
    <row r="46" spans="1:7" x14ac:dyDescent="0.3">
      <c r="A46" s="5" t="s">
        <v>144</v>
      </c>
      <c r="B46" s="5" t="s">
        <v>50</v>
      </c>
      <c r="C46">
        <v>0.19348268839103869</v>
      </c>
      <c r="D46">
        <v>0.20162932790224034</v>
      </c>
      <c r="E46">
        <v>0.21995926680244399</v>
      </c>
      <c r="F46">
        <v>0.18737270875763748</v>
      </c>
      <c r="G46">
        <v>0.19755600814663951</v>
      </c>
    </row>
    <row r="47" spans="1:7" x14ac:dyDescent="0.3">
      <c r="A47" s="5" t="s">
        <v>144</v>
      </c>
      <c r="B47" s="5" t="s">
        <v>52</v>
      </c>
      <c r="C47">
        <v>5.2631578947368418E-2</v>
      </c>
      <c r="D47">
        <v>0.10526315789473684</v>
      </c>
      <c r="E47">
        <v>0.21052631578947367</v>
      </c>
      <c r="F47">
        <v>0.26315789473684209</v>
      </c>
      <c r="G47">
        <v>0.36842105263157893</v>
      </c>
    </row>
    <row r="48" spans="1:7" x14ac:dyDescent="0.3">
      <c r="A48" s="5" t="s">
        <v>144</v>
      </c>
      <c r="B48" s="5" t="s">
        <v>54</v>
      </c>
      <c r="C48">
        <v>0.19008264462809918</v>
      </c>
      <c r="D48">
        <v>0.14049586776859505</v>
      </c>
      <c r="E48">
        <v>0.19834710743801653</v>
      </c>
      <c r="F48">
        <v>0.21900826446280991</v>
      </c>
      <c r="G48">
        <v>0.25206611570247933</v>
      </c>
    </row>
    <row r="49" spans="1:7" x14ac:dyDescent="0.3">
      <c r="A49" s="5" t="s">
        <v>144</v>
      </c>
      <c r="B49" s="5" t="s">
        <v>56</v>
      </c>
      <c r="C49">
        <v>0.15899581589958159</v>
      </c>
      <c r="D49">
        <v>0.1799163179916318</v>
      </c>
      <c r="E49">
        <v>0.20292887029288703</v>
      </c>
      <c r="F49">
        <v>0.23430962343096234</v>
      </c>
      <c r="G49">
        <v>0.22384937238493724</v>
      </c>
    </row>
    <row r="50" spans="1:7" x14ac:dyDescent="0.3">
      <c r="A50" s="5" t="s">
        <v>145</v>
      </c>
      <c r="B50" s="5" t="s">
        <v>34</v>
      </c>
      <c r="C50">
        <v>0.23739837398373984</v>
      </c>
      <c r="D50">
        <v>0.21138211382113822</v>
      </c>
      <c r="E50">
        <v>0.19837398373983739</v>
      </c>
      <c r="F50">
        <v>0.19024390243902439</v>
      </c>
      <c r="G50">
        <v>0.16260162601626016</v>
      </c>
    </row>
    <row r="51" spans="1:7" x14ac:dyDescent="0.3">
      <c r="A51" s="5" t="s">
        <v>145</v>
      </c>
      <c r="B51" s="5" t="s">
        <v>36</v>
      </c>
      <c r="C51">
        <v>0.25</v>
      </c>
      <c r="D51">
        <v>0.21590909090909091</v>
      </c>
      <c r="E51">
        <v>0.20454545454545456</v>
      </c>
      <c r="F51">
        <v>0.18181818181818182</v>
      </c>
      <c r="G51">
        <v>0.14772727272727273</v>
      </c>
    </row>
    <row r="52" spans="1:7" x14ac:dyDescent="0.3">
      <c r="A52" s="5" t="s">
        <v>145</v>
      </c>
      <c r="B52" s="5" t="s">
        <v>38</v>
      </c>
      <c r="C52">
        <v>0.17040358744394618</v>
      </c>
      <c r="D52">
        <v>0.18834080717488788</v>
      </c>
      <c r="E52">
        <v>0.19730941704035873</v>
      </c>
      <c r="F52">
        <v>0.21076233183856502</v>
      </c>
      <c r="G52">
        <v>0.23318385650224216</v>
      </c>
    </row>
    <row r="53" spans="1:7" x14ac:dyDescent="0.3">
      <c r="A53" s="5" t="s">
        <v>145</v>
      </c>
      <c r="B53" s="5" t="s">
        <v>40</v>
      </c>
      <c r="C53">
        <v>0.24827188940092165</v>
      </c>
      <c r="D53">
        <v>0.21428571428571427</v>
      </c>
      <c r="E53">
        <v>0.19815668202764977</v>
      </c>
      <c r="F53">
        <v>0.18317972350230416</v>
      </c>
      <c r="G53">
        <v>0.15610599078341014</v>
      </c>
    </row>
    <row r="54" spans="1:7" x14ac:dyDescent="0.3">
      <c r="A54" s="5" t="s">
        <v>145</v>
      </c>
      <c r="B54" s="5" t="s">
        <v>42</v>
      </c>
      <c r="C54">
        <v>0.14285714285714285</v>
      </c>
      <c r="D54">
        <v>0.18303571428571427</v>
      </c>
      <c r="E54">
        <v>0.20982142857142858</v>
      </c>
      <c r="F54">
        <v>0.21875</v>
      </c>
      <c r="G54">
        <v>0.24553571428571427</v>
      </c>
    </row>
    <row r="55" spans="1:7" x14ac:dyDescent="0.3">
      <c r="A55" s="5" t="s">
        <v>145</v>
      </c>
      <c r="B55" s="5" t="s">
        <v>44</v>
      </c>
      <c r="C55">
        <v>0.15</v>
      </c>
      <c r="D55">
        <v>0.15555555555555556</v>
      </c>
      <c r="E55">
        <v>0.19444444444444445</v>
      </c>
      <c r="F55">
        <v>0.21111111111111111</v>
      </c>
      <c r="G55">
        <v>0.28888888888888886</v>
      </c>
    </row>
    <row r="56" spans="1:7" x14ac:dyDescent="0.3">
      <c r="A56" s="5" t="s">
        <v>145</v>
      </c>
      <c r="B56" s="5" t="s">
        <v>46</v>
      </c>
      <c r="C56">
        <v>0.12186978297161936</v>
      </c>
      <c r="D56">
        <v>0.17529215358931552</v>
      </c>
      <c r="E56">
        <v>0.19699499165275458</v>
      </c>
      <c r="F56">
        <v>0.23038397328881469</v>
      </c>
      <c r="G56">
        <v>0.27545909849749584</v>
      </c>
    </row>
    <row r="57" spans="1:7" x14ac:dyDescent="0.3">
      <c r="A57" s="5" t="s">
        <v>145</v>
      </c>
      <c r="B57" s="5" t="s">
        <v>48</v>
      </c>
      <c r="C57">
        <v>0.26573426573426573</v>
      </c>
      <c r="D57">
        <v>0.22377622377622378</v>
      </c>
      <c r="E57">
        <v>0.19580419580419581</v>
      </c>
      <c r="F57">
        <v>0.17482517482517482</v>
      </c>
      <c r="G57">
        <v>0.13986013986013987</v>
      </c>
    </row>
    <row r="58" spans="1:7" x14ac:dyDescent="0.3">
      <c r="A58" s="5" t="s">
        <v>145</v>
      </c>
      <c r="B58" s="5" t="s">
        <v>50</v>
      </c>
      <c r="C58">
        <v>0.16599190283400811</v>
      </c>
      <c r="D58">
        <v>0.19838056680161945</v>
      </c>
      <c r="E58">
        <v>0.20445344129554655</v>
      </c>
      <c r="F58">
        <v>0.20647773279352227</v>
      </c>
      <c r="G58">
        <v>0.22469635627530365</v>
      </c>
    </row>
    <row r="59" spans="1:7" x14ac:dyDescent="0.3">
      <c r="A59" s="5" t="s">
        <v>145</v>
      </c>
      <c r="B59" s="5" t="s">
        <v>52</v>
      </c>
      <c r="C59">
        <v>0.15789473684210525</v>
      </c>
      <c r="D59">
        <v>0.15789473684210525</v>
      </c>
      <c r="E59">
        <v>0.18421052631578946</v>
      </c>
      <c r="F59">
        <v>0.23684210526315788</v>
      </c>
      <c r="G59">
        <v>0.26315789473684209</v>
      </c>
    </row>
    <row r="60" spans="1:7" x14ac:dyDescent="0.3">
      <c r="A60" s="5" t="s">
        <v>145</v>
      </c>
      <c r="B60" s="5" t="s">
        <v>54</v>
      </c>
      <c r="C60">
        <v>0.14830508474576271</v>
      </c>
      <c r="D60">
        <v>0.17796610169491525</v>
      </c>
      <c r="E60">
        <v>0.20338983050847459</v>
      </c>
      <c r="F60">
        <v>0.21610169491525424</v>
      </c>
      <c r="G60">
        <v>0.25423728813559321</v>
      </c>
    </row>
    <row r="61" spans="1:7" x14ac:dyDescent="0.3">
      <c r="A61" s="5" t="s">
        <v>145</v>
      </c>
      <c r="B61" s="5" t="s">
        <v>56</v>
      </c>
      <c r="C61">
        <v>0.166270783847981</v>
      </c>
      <c r="D61">
        <v>0.19714964370546317</v>
      </c>
      <c r="E61">
        <v>0.20902612826603326</v>
      </c>
      <c r="F61">
        <v>0.21377672209026127</v>
      </c>
      <c r="G61">
        <v>0.21377672209026127</v>
      </c>
    </row>
    <row r="62" spans="1:7" x14ac:dyDescent="0.3">
      <c r="A62" s="5" t="s">
        <v>146</v>
      </c>
      <c r="B62" s="5" t="s">
        <v>34</v>
      </c>
      <c r="C62">
        <v>0.26537489469250208</v>
      </c>
      <c r="D62">
        <v>0.23588879528222409</v>
      </c>
      <c r="E62">
        <v>0.20134793597304129</v>
      </c>
      <c r="F62">
        <v>0.16764953664700927</v>
      </c>
      <c r="G62">
        <v>0.12973883740522324</v>
      </c>
    </row>
    <row r="63" spans="1:7" x14ac:dyDescent="0.3">
      <c r="A63" s="5" t="s">
        <v>146</v>
      </c>
      <c r="B63" s="5" t="s">
        <v>36</v>
      </c>
      <c r="C63">
        <v>0.18390804597701149</v>
      </c>
      <c r="D63">
        <v>0.25862068965517243</v>
      </c>
      <c r="E63">
        <v>0.23563218390804597</v>
      </c>
      <c r="F63">
        <v>0.17816091954022989</v>
      </c>
      <c r="G63">
        <v>0.14367816091954022</v>
      </c>
    </row>
    <row r="64" spans="1:7" x14ac:dyDescent="0.3">
      <c r="A64" s="5" t="s">
        <v>146</v>
      </c>
      <c r="B64" s="5" t="s">
        <v>38</v>
      </c>
      <c r="C64">
        <v>0.15068493150684931</v>
      </c>
      <c r="D64">
        <v>0.14611872146118721</v>
      </c>
      <c r="E64">
        <v>0.26027397260273971</v>
      </c>
      <c r="F64">
        <v>0.21917808219178081</v>
      </c>
      <c r="G64">
        <v>0.22374429223744291</v>
      </c>
    </row>
    <row r="65" spans="1:7" x14ac:dyDescent="0.3">
      <c r="A65" s="5" t="s">
        <v>146</v>
      </c>
      <c r="B65" s="5" t="s">
        <v>40</v>
      </c>
      <c r="C65">
        <v>0.20861678004535147</v>
      </c>
      <c r="D65">
        <v>0.19123204837490551</v>
      </c>
      <c r="E65">
        <v>0.17535903250188964</v>
      </c>
      <c r="F65">
        <v>0.19425547996976569</v>
      </c>
      <c r="G65">
        <v>0.23053665910808768</v>
      </c>
    </row>
    <row r="66" spans="1:7" x14ac:dyDescent="0.3">
      <c r="A66" s="5" t="s">
        <v>146</v>
      </c>
      <c r="B66" s="5" t="s">
        <v>42</v>
      </c>
      <c r="C66">
        <v>0.2</v>
      </c>
      <c r="D66">
        <v>0.18965517241379309</v>
      </c>
      <c r="E66">
        <v>0.19310344827586207</v>
      </c>
      <c r="F66">
        <v>0.20344827586206896</v>
      </c>
      <c r="G66">
        <v>0.21379310344827587</v>
      </c>
    </row>
    <row r="67" spans="1:7" x14ac:dyDescent="0.3">
      <c r="A67" s="5" t="s">
        <v>146</v>
      </c>
      <c r="B67" s="5" t="s">
        <v>44</v>
      </c>
      <c r="C67">
        <v>0.33333333333333331</v>
      </c>
      <c r="D67">
        <v>0.23376623376623376</v>
      </c>
      <c r="E67">
        <v>0.16883116883116883</v>
      </c>
      <c r="F67">
        <v>0.13419913419913421</v>
      </c>
      <c r="G67">
        <v>0.12987012987012986</v>
      </c>
    </row>
    <row r="68" spans="1:7" x14ac:dyDescent="0.3">
      <c r="A68" s="5" t="s">
        <v>146</v>
      </c>
      <c r="B68" s="5" t="s">
        <v>46</v>
      </c>
      <c r="C68">
        <v>7.2727272727272724E-2</v>
      </c>
      <c r="D68">
        <v>0.16767676767676767</v>
      </c>
      <c r="E68">
        <v>0.23030303030303031</v>
      </c>
      <c r="F68">
        <v>0.27676767676767677</v>
      </c>
      <c r="G68">
        <v>0.25252525252525254</v>
      </c>
    </row>
    <row r="69" spans="1:7" x14ac:dyDescent="0.3">
      <c r="A69" s="5" t="s">
        <v>146</v>
      </c>
      <c r="B69" s="5" t="s">
        <v>48</v>
      </c>
      <c r="C69">
        <v>0.22727272727272727</v>
      </c>
      <c r="D69">
        <v>0.22272727272727272</v>
      </c>
      <c r="E69">
        <v>0.20454545454545456</v>
      </c>
      <c r="F69">
        <v>0.18636363636363637</v>
      </c>
      <c r="G69">
        <v>0.15909090909090909</v>
      </c>
    </row>
    <row r="70" spans="1:7" x14ac:dyDescent="0.3">
      <c r="A70" s="5" t="s">
        <v>146</v>
      </c>
      <c r="B70" s="5" t="s">
        <v>50</v>
      </c>
      <c r="C70">
        <v>0.16891891891891891</v>
      </c>
      <c r="D70">
        <v>0.16891891891891891</v>
      </c>
      <c r="E70">
        <v>0.20495495495495494</v>
      </c>
      <c r="F70">
        <v>0.21846846846846846</v>
      </c>
      <c r="G70">
        <v>0.23873873873873874</v>
      </c>
    </row>
    <row r="71" spans="1:7" x14ac:dyDescent="0.3">
      <c r="A71" s="5" t="s">
        <v>146</v>
      </c>
      <c r="B71" s="5" t="s">
        <v>52</v>
      </c>
      <c r="C71">
        <v>4.3478260869565216E-2</v>
      </c>
      <c r="D71">
        <v>0.13043478260869565</v>
      </c>
      <c r="E71">
        <v>0.19565217391304349</v>
      </c>
      <c r="F71">
        <v>0.32608695652173914</v>
      </c>
      <c r="G71">
        <v>0.30434782608695654</v>
      </c>
    </row>
    <row r="72" spans="1:7" x14ac:dyDescent="0.3">
      <c r="A72" s="5" t="s">
        <v>146</v>
      </c>
      <c r="B72" s="5" t="s">
        <v>54</v>
      </c>
      <c r="C72">
        <v>7.3825503355704702E-2</v>
      </c>
      <c r="D72">
        <v>0.14093959731543623</v>
      </c>
      <c r="E72">
        <v>0.19463087248322147</v>
      </c>
      <c r="F72">
        <v>0.25503355704697989</v>
      </c>
      <c r="G72">
        <v>0.33557046979865773</v>
      </c>
    </row>
    <row r="73" spans="1:7" x14ac:dyDescent="0.3">
      <c r="A73" s="5" t="s">
        <v>146</v>
      </c>
      <c r="B73" s="5" t="s">
        <v>56</v>
      </c>
      <c r="C73">
        <v>0.15625</v>
      </c>
      <c r="D73">
        <v>0.21875</v>
      </c>
      <c r="E73">
        <v>0.20982142857142858</v>
      </c>
      <c r="F73">
        <v>0.21428571428571427</v>
      </c>
      <c r="G73">
        <v>0.20089285714285715</v>
      </c>
    </row>
    <row r="74" spans="1:7" x14ac:dyDescent="0.3">
      <c r="A74" s="5" t="s">
        <v>147</v>
      </c>
      <c r="B74" s="5" t="s">
        <v>34</v>
      </c>
      <c r="C74">
        <v>0.22795341098169716</v>
      </c>
      <c r="D74">
        <v>0.22129783693843594</v>
      </c>
      <c r="E74">
        <v>0.19633943427620631</v>
      </c>
      <c r="F74">
        <v>0.18635607321131448</v>
      </c>
      <c r="G74">
        <v>0.16805324459234608</v>
      </c>
    </row>
    <row r="75" spans="1:7" x14ac:dyDescent="0.3">
      <c r="A75" s="5" t="s">
        <v>147</v>
      </c>
      <c r="B75" s="5" t="s">
        <v>36</v>
      </c>
      <c r="C75">
        <v>0.26829268292682928</v>
      </c>
      <c r="D75">
        <v>0.21138211382113822</v>
      </c>
      <c r="E75">
        <v>0.2032520325203252</v>
      </c>
      <c r="F75">
        <v>0.17073170731707318</v>
      </c>
      <c r="G75">
        <v>0.14634146341463414</v>
      </c>
    </row>
    <row r="76" spans="1:7" x14ac:dyDescent="0.3">
      <c r="A76" s="5" t="s">
        <v>147</v>
      </c>
      <c r="B76" s="5" t="s">
        <v>38</v>
      </c>
      <c r="C76">
        <v>0.15121951219512195</v>
      </c>
      <c r="D76">
        <v>0.19024390243902439</v>
      </c>
      <c r="E76">
        <v>0.20487804878048779</v>
      </c>
      <c r="F76">
        <v>0.22439024390243903</v>
      </c>
      <c r="G76">
        <v>0.22926829268292684</v>
      </c>
    </row>
    <row r="77" spans="1:7" x14ac:dyDescent="0.3">
      <c r="A77" s="5" t="s">
        <v>147</v>
      </c>
      <c r="B77" s="5" t="s">
        <v>40</v>
      </c>
      <c r="C77">
        <v>0.24197384066587396</v>
      </c>
      <c r="D77">
        <v>0.21700356718192629</v>
      </c>
      <c r="E77">
        <v>0.20332936979785968</v>
      </c>
      <c r="F77">
        <v>0.17954815695600476</v>
      </c>
      <c r="G77">
        <v>0.15814506539833531</v>
      </c>
    </row>
    <row r="78" spans="1:7" x14ac:dyDescent="0.3">
      <c r="A78" s="5" t="s">
        <v>147</v>
      </c>
      <c r="B78" s="5" t="s">
        <v>42</v>
      </c>
      <c r="C78">
        <v>0.18232044198895028</v>
      </c>
      <c r="D78">
        <v>0.18784530386740331</v>
      </c>
      <c r="E78">
        <v>0.20994475138121546</v>
      </c>
      <c r="F78">
        <v>0.19337016574585636</v>
      </c>
      <c r="G78">
        <v>0.22651933701657459</v>
      </c>
    </row>
    <row r="79" spans="1:7" x14ac:dyDescent="0.3">
      <c r="A79" s="5" t="s">
        <v>147</v>
      </c>
      <c r="B79" s="5" t="s">
        <v>44</v>
      </c>
      <c r="C79">
        <v>0.16216216216216217</v>
      </c>
      <c r="D79">
        <v>0.1891891891891892</v>
      </c>
      <c r="E79">
        <v>0.1891891891891892</v>
      </c>
      <c r="F79">
        <v>0.21621621621621623</v>
      </c>
      <c r="G79">
        <v>0.24324324324324326</v>
      </c>
    </row>
    <row r="80" spans="1:7" x14ac:dyDescent="0.3">
      <c r="A80" s="5" t="s">
        <v>147</v>
      </c>
      <c r="B80" s="5" t="s">
        <v>46</v>
      </c>
      <c r="C80">
        <v>0.13576158940397351</v>
      </c>
      <c r="D80">
        <v>0.19039735099337748</v>
      </c>
      <c r="E80">
        <v>0.20529801324503311</v>
      </c>
      <c r="F80">
        <v>0.23013245033112584</v>
      </c>
      <c r="G80">
        <v>0.23841059602649006</v>
      </c>
    </row>
    <row r="81" spans="1:7" x14ac:dyDescent="0.3">
      <c r="A81" s="5" t="s">
        <v>147</v>
      </c>
      <c r="B81" s="5" t="s">
        <v>48</v>
      </c>
      <c r="C81">
        <v>0.22885572139303484</v>
      </c>
      <c r="D81">
        <v>0.21393034825870647</v>
      </c>
      <c r="E81">
        <v>0.20398009950248755</v>
      </c>
      <c r="F81">
        <v>0.1890547263681592</v>
      </c>
      <c r="G81">
        <v>0.16417910447761194</v>
      </c>
    </row>
    <row r="82" spans="1:7" x14ac:dyDescent="0.3">
      <c r="A82" s="5" t="s">
        <v>147</v>
      </c>
      <c r="B82" s="5" t="s">
        <v>50</v>
      </c>
      <c r="C82">
        <v>0.16791979949874686</v>
      </c>
      <c r="D82">
        <v>0.19548872180451127</v>
      </c>
      <c r="E82">
        <v>0.19799498746867167</v>
      </c>
      <c r="F82">
        <v>0.20802005012531327</v>
      </c>
      <c r="G82">
        <v>0.23057644110275688</v>
      </c>
    </row>
    <row r="83" spans="1:7" x14ac:dyDescent="0.3">
      <c r="A83" s="5" t="s">
        <v>147</v>
      </c>
      <c r="B83" s="5" t="s">
        <v>52</v>
      </c>
      <c r="C83">
        <v>0.27192982456140352</v>
      </c>
      <c r="D83">
        <v>0.15789473684210525</v>
      </c>
      <c r="E83">
        <v>0.14035087719298245</v>
      </c>
      <c r="F83">
        <v>0.18421052631578946</v>
      </c>
      <c r="G83">
        <v>0.24561403508771928</v>
      </c>
    </row>
    <row r="84" spans="1:7" x14ac:dyDescent="0.3">
      <c r="A84" s="5" t="s">
        <v>147</v>
      </c>
      <c r="B84" s="5" t="s">
        <v>54</v>
      </c>
      <c r="C84">
        <v>0.15593220338983052</v>
      </c>
      <c r="D84">
        <v>0.15593220338983052</v>
      </c>
      <c r="E84">
        <v>0.2</v>
      </c>
      <c r="F84">
        <v>0.23389830508474577</v>
      </c>
      <c r="G84">
        <v>0.25423728813559321</v>
      </c>
    </row>
    <row r="85" spans="1:7" x14ac:dyDescent="0.3">
      <c r="A85" s="5" t="s">
        <v>147</v>
      </c>
      <c r="B85" s="5" t="s">
        <v>56</v>
      </c>
      <c r="C85">
        <v>0.14609053497942387</v>
      </c>
      <c r="D85">
        <v>0.17078189300411523</v>
      </c>
      <c r="E85">
        <v>0.19547325102880658</v>
      </c>
      <c r="F85">
        <v>0.22633744855967078</v>
      </c>
      <c r="G85">
        <v>0.26131687242798352</v>
      </c>
    </row>
    <row r="86" spans="1:7" x14ac:dyDescent="0.3">
      <c r="A86" s="5" t="s">
        <v>175</v>
      </c>
      <c r="B86" s="5" t="s">
        <v>34</v>
      </c>
      <c r="C86">
        <v>0.22704339051463168</v>
      </c>
      <c r="D86">
        <v>0.21796165489404642</v>
      </c>
      <c r="E86">
        <v>0.20887991927346114</v>
      </c>
      <c r="F86">
        <v>0.18970736629667004</v>
      </c>
      <c r="G86">
        <v>0.15640766902119072</v>
      </c>
    </row>
    <row r="87" spans="1:7" x14ac:dyDescent="0.3">
      <c r="A87" s="5" t="s">
        <v>175</v>
      </c>
      <c r="B87" s="5" t="s">
        <v>36</v>
      </c>
      <c r="C87">
        <v>0.23626373626373626</v>
      </c>
      <c r="D87">
        <v>0.19780219780219779</v>
      </c>
      <c r="E87">
        <v>0.19780219780219779</v>
      </c>
      <c r="F87">
        <v>0.2032967032967033</v>
      </c>
      <c r="G87">
        <v>0.16483516483516483</v>
      </c>
    </row>
    <row r="88" spans="1:7" x14ac:dyDescent="0.3">
      <c r="A88" s="5" t="s">
        <v>175</v>
      </c>
      <c r="B88" s="5" t="s">
        <v>38</v>
      </c>
      <c r="C88">
        <v>0.15929203539823009</v>
      </c>
      <c r="D88">
        <v>0.16371681415929204</v>
      </c>
      <c r="E88">
        <v>0.19469026548672566</v>
      </c>
      <c r="F88">
        <v>0.22566371681415928</v>
      </c>
      <c r="G88">
        <v>0.25663716814159293</v>
      </c>
    </row>
    <row r="89" spans="1:7" x14ac:dyDescent="0.3">
      <c r="A89" s="5" t="s">
        <v>175</v>
      </c>
      <c r="B89" s="5" t="s">
        <v>40</v>
      </c>
      <c r="C89">
        <v>0.22983050847457628</v>
      </c>
      <c r="D89">
        <v>0.22305084745762713</v>
      </c>
      <c r="E89">
        <v>0.2</v>
      </c>
      <c r="F89">
        <v>0.18372881355932202</v>
      </c>
      <c r="G89">
        <v>0.16338983050847458</v>
      </c>
    </row>
    <row r="90" spans="1:7" x14ac:dyDescent="0.3">
      <c r="A90" s="5" t="s">
        <v>175</v>
      </c>
      <c r="B90" s="5" t="s">
        <v>42</v>
      </c>
      <c r="C90">
        <v>0.15343915343915343</v>
      </c>
      <c r="D90">
        <v>0.20634920634920634</v>
      </c>
      <c r="E90">
        <v>0.21693121693121692</v>
      </c>
      <c r="F90">
        <v>0.19047619047619047</v>
      </c>
      <c r="G90">
        <v>0.23280423280423279</v>
      </c>
    </row>
    <row r="91" spans="1:7" x14ac:dyDescent="0.3">
      <c r="A91" s="5" t="s">
        <v>175</v>
      </c>
      <c r="B91" s="5" t="s">
        <v>44</v>
      </c>
      <c r="C91">
        <v>0.19877675840978593</v>
      </c>
      <c r="D91">
        <v>0.22018348623853212</v>
      </c>
      <c r="E91">
        <v>0.20795107033639143</v>
      </c>
      <c r="F91">
        <v>0.19266055045871561</v>
      </c>
      <c r="G91">
        <v>0.18042813455657492</v>
      </c>
    </row>
    <row r="92" spans="1:7" x14ac:dyDescent="0.3">
      <c r="A92" s="5" t="s">
        <v>175</v>
      </c>
      <c r="B92" s="5" t="s">
        <v>46</v>
      </c>
      <c r="C92">
        <v>0.12643678160919541</v>
      </c>
      <c r="D92">
        <v>0.16321839080459771</v>
      </c>
      <c r="E92">
        <v>0.19080459770114944</v>
      </c>
      <c r="F92">
        <v>0.23218390804597702</v>
      </c>
      <c r="G92">
        <v>0.28735632183908044</v>
      </c>
    </row>
    <row r="93" spans="1:7" x14ac:dyDescent="0.3">
      <c r="A93" s="5" t="s">
        <v>175</v>
      </c>
      <c r="B93" s="5" t="s">
        <v>48</v>
      </c>
      <c r="C93">
        <v>0.2011173184357542</v>
      </c>
      <c r="D93">
        <v>0.2011173184357542</v>
      </c>
      <c r="E93">
        <v>0.20670391061452514</v>
      </c>
      <c r="F93">
        <v>0.21229050279329609</v>
      </c>
      <c r="G93">
        <v>0.1787709497206704</v>
      </c>
    </row>
    <row r="94" spans="1:7" x14ac:dyDescent="0.3">
      <c r="A94" s="5" t="s">
        <v>175</v>
      </c>
      <c r="B94" s="5" t="s">
        <v>50</v>
      </c>
      <c r="C94">
        <v>0.1404494382022472</v>
      </c>
      <c r="D94">
        <v>0.1404494382022472</v>
      </c>
      <c r="E94">
        <v>0.19662921348314608</v>
      </c>
      <c r="F94">
        <v>0.2247191011235955</v>
      </c>
      <c r="G94">
        <v>0.29775280898876405</v>
      </c>
    </row>
    <row r="95" spans="1:7" x14ac:dyDescent="0.3">
      <c r="A95" s="5" t="s">
        <v>175</v>
      </c>
      <c r="B95" s="5" t="s">
        <v>52</v>
      </c>
      <c r="C95">
        <v>0.1092436974789916</v>
      </c>
      <c r="D95">
        <v>0.12605042016806722</v>
      </c>
      <c r="E95">
        <v>0.15126050420168066</v>
      </c>
      <c r="F95">
        <v>0.24369747899159663</v>
      </c>
      <c r="G95">
        <v>0.36974789915966388</v>
      </c>
    </row>
    <row r="96" spans="1:7" x14ac:dyDescent="0.3">
      <c r="A96" s="5" t="s">
        <v>175</v>
      </c>
      <c r="B96" s="5" t="s">
        <v>54</v>
      </c>
      <c r="C96">
        <v>0.20185614849187936</v>
      </c>
      <c r="D96">
        <v>0.17865429234338748</v>
      </c>
      <c r="E96">
        <v>0.1902552204176334</v>
      </c>
      <c r="F96">
        <v>0.21113689095127611</v>
      </c>
      <c r="G96">
        <v>0.21809744779582366</v>
      </c>
    </row>
    <row r="97" spans="1:7" x14ac:dyDescent="0.3">
      <c r="A97" s="5" t="s">
        <v>175</v>
      </c>
      <c r="B97" s="5" t="s">
        <v>56</v>
      </c>
      <c r="C97">
        <v>0.17279411764705882</v>
      </c>
      <c r="D97">
        <v>0.17647058823529413</v>
      </c>
      <c r="E97">
        <v>0.19852941176470587</v>
      </c>
      <c r="F97">
        <v>0.20955882352941177</v>
      </c>
      <c r="G97">
        <v>0.24264705882352941</v>
      </c>
    </row>
    <row r="98" spans="1:7" x14ac:dyDescent="0.3">
      <c r="A98" s="5" t="s">
        <v>148</v>
      </c>
      <c r="B98" s="5" t="s">
        <v>34</v>
      </c>
      <c r="C98">
        <v>0.24310776942355888</v>
      </c>
      <c r="D98">
        <v>0.21679197994987467</v>
      </c>
      <c r="E98">
        <v>0.19674185463659147</v>
      </c>
      <c r="F98">
        <v>0.18421052631578946</v>
      </c>
      <c r="G98">
        <v>0.15914786967418545</v>
      </c>
    </row>
    <row r="99" spans="1:7" x14ac:dyDescent="0.3">
      <c r="A99" s="5" t="s">
        <v>148</v>
      </c>
      <c r="B99" s="5" t="s">
        <v>36</v>
      </c>
      <c r="C99">
        <v>0.23762376237623761</v>
      </c>
      <c r="D99">
        <v>0.21782178217821782</v>
      </c>
      <c r="E99">
        <v>0.19801980198019803</v>
      </c>
      <c r="F99">
        <v>0.19801980198019803</v>
      </c>
      <c r="G99">
        <v>0.14851485148514851</v>
      </c>
    </row>
    <row r="100" spans="1:7" x14ac:dyDescent="0.3">
      <c r="A100" s="5" t="s">
        <v>148</v>
      </c>
      <c r="B100" s="5" t="s">
        <v>38</v>
      </c>
      <c r="C100">
        <v>0.17408906882591094</v>
      </c>
      <c r="D100">
        <v>0.18623481781376519</v>
      </c>
      <c r="E100">
        <v>0.20242914979757085</v>
      </c>
      <c r="F100">
        <v>0.21862348178137653</v>
      </c>
      <c r="G100">
        <v>0.21862348178137653</v>
      </c>
    </row>
    <row r="101" spans="1:7" x14ac:dyDescent="0.3">
      <c r="A101" s="5" t="s">
        <v>148</v>
      </c>
      <c r="B101" s="5" t="s">
        <v>40</v>
      </c>
      <c r="C101">
        <v>0.23351482153660011</v>
      </c>
      <c r="D101">
        <v>0.21052631578947367</v>
      </c>
      <c r="E101">
        <v>0.1984271022383545</v>
      </c>
      <c r="F101">
        <v>0.18148820326678766</v>
      </c>
      <c r="G101">
        <v>0.17604355716878403</v>
      </c>
    </row>
    <row r="102" spans="1:7" x14ac:dyDescent="0.3">
      <c r="A102" s="5" t="s">
        <v>148</v>
      </c>
      <c r="B102" s="5" t="s">
        <v>42</v>
      </c>
      <c r="C102">
        <v>0.17326732673267325</v>
      </c>
      <c r="D102">
        <v>0.18811881188118812</v>
      </c>
      <c r="E102">
        <v>0.19306930693069307</v>
      </c>
      <c r="F102">
        <v>0.19801980198019803</v>
      </c>
      <c r="G102">
        <v>0.24752475247524752</v>
      </c>
    </row>
    <row r="103" spans="1:7" x14ac:dyDescent="0.3">
      <c r="A103" s="5" t="s">
        <v>148</v>
      </c>
      <c r="B103" s="5" t="s">
        <v>44</v>
      </c>
      <c r="C103">
        <v>0.17415730337078653</v>
      </c>
      <c r="D103">
        <v>0.20786516853932585</v>
      </c>
      <c r="E103">
        <v>0.2247191011235955</v>
      </c>
      <c r="F103">
        <v>0.20786516853932585</v>
      </c>
      <c r="G103">
        <v>0.1853932584269663</v>
      </c>
    </row>
    <row r="104" spans="1:7" x14ac:dyDescent="0.3">
      <c r="A104" s="5" t="s">
        <v>148</v>
      </c>
      <c r="B104" s="5" t="s">
        <v>46</v>
      </c>
      <c r="C104">
        <v>0.16152450090744103</v>
      </c>
      <c r="D104">
        <v>0.18874773139745918</v>
      </c>
      <c r="E104">
        <v>0.19782214156079855</v>
      </c>
      <c r="F104">
        <v>0.22504537205081671</v>
      </c>
      <c r="G104">
        <v>0.22686025408348456</v>
      </c>
    </row>
    <row r="105" spans="1:7" x14ac:dyDescent="0.3">
      <c r="A105" s="5" t="s">
        <v>148</v>
      </c>
      <c r="B105" s="5" t="s">
        <v>48</v>
      </c>
      <c r="C105">
        <v>0.2251655629139073</v>
      </c>
      <c r="D105">
        <v>0.2185430463576159</v>
      </c>
      <c r="E105">
        <v>0.20529801324503311</v>
      </c>
      <c r="F105">
        <v>0.19205298013245034</v>
      </c>
      <c r="G105">
        <v>0.15894039735099338</v>
      </c>
    </row>
    <row r="106" spans="1:7" x14ac:dyDescent="0.3">
      <c r="A106" s="5" t="s">
        <v>148</v>
      </c>
      <c r="B106" s="5" t="s">
        <v>50</v>
      </c>
      <c r="C106">
        <v>0.14814814814814814</v>
      </c>
      <c r="D106">
        <v>0.17407407407407408</v>
      </c>
      <c r="E106">
        <v>0.2</v>
      </c>
      <c r="F106">
        <v>0.22592592592592592</v>
      </c>
      <c r="G106">
        <v>0.25185185185185183</v>
      </c>
    </row>
    <row r="107" spans="1:7" x14ac:dyDescent="0.3">
      <c r="A107" s="5" t="s">
        <v>148</v>
      </c>
      <c r="B107" s="5" t="s">
        <v>52</v>
      </c>
      <c r="C107">
        <v>0.10526315789473684</v>
      </c>
      <c r="D107">
        <v>0.12280701754385964</v>
      </c>
      <c r="E107">
        <v>0.17543859649122806</v>
      </c>
      <c r="F107">
        <v>0.19298245614035087</v>
      </c>
      <c r="G107">
        <v>0.40350877192982454</v>
      </c>
    </row>
    <row r="108" spans="1:7" x14ac:dyDescent="0.3">
      <c r="A108" s="5" t="s">
        <v>148</v>
      </c>
      <c r="B108" s="5" t="s">
        <v>54</v>
      </c>
      <c r="C108">
        <v>0.12529550827423167</v>
      </c>
      <c r="D108">
        <v>0.1702127659574468</v>
      </c>
      <c r="E108">
        <v>0.20330969267139479</v>
      </c>
      <c r="F108">
        <v>0.23404255319148937</v>
      </c>
      <c r="G108">
        <v>0.26713947990543735</v>
      </c>
    </row>
    <row r="109" spans="1:7" x14ac:dyDescent="0.3">
      <c r="A109" s="5" t="s">
        <v>148</v>
      </c>
      <c r="B109" s="5" t="s">
        <v>56</v>
      </c>
      <c r="C109">
        <v>0.17166212534059946</v>
      </c>
      <c r="D109">
        <v>0.1989100817438692</v>
      </c>
      <c r="E109">
        <v>0.2098092643051771</v>
      </c>
      <c r="F109">
        <v>0.2098092643051771</v>
      </c>
      <c r="G109">
        <v>0.2098092643051771</v>
      </c>
    </row>
    <row r="110" spans="1:7" x14ac:dyDescent="0.3">
      <c r="A110" s="5" t="s">
        <v>149</v>
      </c>
      <c r="B110" s="5" t="s">
        <v>34</v>
      </c>
      <c r="C110">
        <v>0.20164609053497942</v>
      </c>
      <c r="D110">
        <v>0.20576131687242799</v>
      </c>
      <c r="E110">
        <v>0.2112482853223594</v>
      </c>
      <c r="F110">
        <v>0.20576131687242799</v>
      </c>
      <c r="G110">
        <v>0.1755829903978052</v>
      </c>
    </row>
    <row r="111" spans="1:7" x14ac:dyDescent="0.3">
      <c r="A111" s="5" t="s">
        <v>149</v>
      </c>
      <c r="B111" s="5" t="s">
        <v>36</v>
      </c>
      <c r="C111">
        <v>0.25547445255474455</v>
      </c>
      <c r="D111">
        <v>0.21897810218978103</v>
      </c>
      <c r="E111">
        <v>0.20437956204379562</v>
      </c>
      <c r="F111">
        <v>0.17518248175182483</v>
      </c>
      <c r="G111">
        <v>0.145985401459854</v>
      </c>
    </row>
    <row r="112" spans="1:7" x14ac:dyDescent="0.3">
      <c r="A112" s="5" t="s">
        <v>149</v>
      </c>
      <c r="B112" s="5" t="s">
        <v>38</v>
      </c>
      <c r="C112">
        <v>0.21717171717171718</v>
      </c>
      <c r="D112">
        <v>0.18686868686868688</v>
      </c>
      <c r="E112">
        <v>0.19191919191919191</v>
      </c>
      <c r="F112">
        <v>0.19696969696969696</v>
      </c>
      <c r="G112">
        <v>0.20707070707070707</v>
      </c>
    </row>
    <row r="113" spans="1:7" x14ac:dyDescent="0.3">
      <c r="A113" s="5" t="s">
        <v>149</v>
      </c>
      <c r="B113" s="5" t="s">
        <v>40</v>
      </c>
      <c r="C113">
        <v>0.22919418758256274</v>
      </c>
      <c r="D113">
        <v>0.2166446499339498</v>
      </c>
      <c r="E113">
        <v>0.20145310435931307</v>
      </c>
      <c r="F113">
        <v>0.18428005284015853</v>
      </c>
      <c r="G113">
        <v>0.16842800528401586</v>
      </c>
    </row>
    <row r="114" spans="1:7" x14ac:dyDescent="0.3">
      <c r="A114" s="5" t="s">
        <v>149</v>
      </c>
      <c r="B114" s="5" t="s">
        <v>42</v>
      </c>
      <c r="C114">
        <v>0.15315315315315314</v>
      </c>
      <c r="D114">
        <v>0.18018018018018017</v>
      </c>
      <c r="E114">
        <v>0.19369369369369369</v>
      </c>
      <c r="F114">
        <v>0.21171171171171171</v>
      </c>
      <c r="G114">
        <v>0.26126126126126126</v>
      </c>
    </row>
    <row r="115" spans="1:7" x14ac:dyDescent="0.3">
      <c r="A115" s="5" t="s">
        <v>149</v>
      </c>
      <c r="B115" s="5" t="s">
        <v>44</v>
      </c>
      <c r="C115">
        <v>0.1875</v>
      </c>
      <c r="D115">
        <v>0.2</v>
      </c>
      <c r="E115">
        <v>0.22500000000000001</v>
      </c>
      <c r="F115">
        <v>0.2</v>
      </c>
      <c r="G115">
        <v>0.1875</v>
      </c>
    </row>
    <row r="116" spans="1:7" x14ac:dyDescent="0.3">
      <c r="A116" s="5" t="s">
        <v>149</v>
      </c>
      <c r="B116" s="5" t="s">
        <v>46</v>
      </c>
      <c r="C116">
        <v>0.16346153846153846</v>
      </c>
      <c r="D116">
        <v>0.18108974358974358</v>
      </c>
      <c r="E116">
        <v>0.19391025641025642</v>
      </c>
      <c r="F116">
        <v>0.22275641025641027</v>
      </c>
      <c r="G116">
        <v>0.23878205128205129</v>
      </c>
    </row>
    <row r="117" spans="1:7" x14ac:dyDescent="0.3">
      <c r="A117" s="5" t="s">
        <v>149</v>
      </c>
      <c r="B117" s="5" t="s">
        <v>48</v>
      </c>
      <c r="C117">
        <v>0.27131782945736432</v>
      </c>
      <c r="D117">
        <v>0.21705426356589147</v>
      </c>
      <c r="E117">
        <v>0.19379844961240311</v>
      </c>
      <c r="F117">
        <v>0.17829457364341086</v>
      </c>
      <c r="G117">
        <v>0.13953488372093023</v>
      </c>
    </row>
    <row r="118" spans="1:7" x14ac:dyDescent="0.3">
      <c r="A118" s="5" t="s">
        <v>149</v>
      </c>
      <c r="B118" s="5" t="s">
        <v>50</v>
      </c>
      <c r="C118">
        <v>0.17886178861788618</v>
      </c>
      <c r="D118">
        <v>0.17886178861788618</v>
      </c>
      <c r="E118">
        <v>0.1951219512195122</v>
      </c>
      <c r="F118">
        <v>0.20596205962059622</v>
      </c>
      <c r="G118">
        <v>0.24119241192411925</v>
      </c>
    </row>
    <row r="119" spans="1:7" x14ac:dyDescent="0.3">
      <c r="A119" s="5" t="s">
        <v>149</v>
      </c>
      <c r="B119" s="5" t="s">
        <v>52</v>
      </c>
      <c r="C119">
        <v>0.2857142857142857</v>
      </c>
      <c r="D119">
        <v>0.14285714285714285</v>
      </c>
      <c r="E119">
        <v>0.10714285714285714</v>
      </c>
      <c r="F119">
        <v>0.14285714285714285</v>
      </c>
      <c r="G119">
        <v>0.32142857142857145</v>
      </c>
    </row>
    <row r="120" spans="1:7" x14ac:dyDescent="0.3">
      <c r="A120" s="5" t="s">
        <v>149</v>
      </c>
      <c r="B120" s="5" t="s">
        <v>54</v>
      </c>
      <c r="C120">
        <v>0.16129032258064516</v>
      </c>
      <c r="D120">
        <v>0.16532258064516128</v>
      </c>
      <c r="E120">
        <v>0.17741935483870969</v>
      </c>
      <c r="F120">
        <v>0.20967741935483872</v>
      </c>
      <c r="G120">
        <v>0.28629032258064518</v>
      </c>
    </row>
    <row r="121" spans="1:7" x14ac:dyDescent="0.3">
      <c r="A121" s="5" t="s">
        <v>149</v>
      </c>
      <c r="B121" s="5" t="s">
        <v>56</v>
      </c>
      <c r="C121">
        <v>0.17704011065006917</v>
      </c>
      <c r="D121">
        <v>0.2033195020746888</v>
      </c>
      <c r="E121">
        <v>0.2074688796680498</v>
      </c>
      <c r="F121">
        <v>0.2074688796680498</v>
      </c>
      <c r="G121">
        <v>0.20470262793914246</v>
      </c>
    </row>
    <row r="122" spans="1:7" x14ac:dyDescent="0.3">
      <c r="A122" s="5" t="s">
        <v>151</v>
      </c>
      <c r="B122" s="5" t="s">
        <v>34</v>
      </c>
      <c r="C122">
        <v>0.20164609053497942</v>
      </c>
      <c r="D122">
        <v>0.20576131687242799</v>
      </c>
      <c r="E122">
        <v>0.2112482853223594</v>
      </c>
      <c r="F122">
        <v>0.20576131687242799</v>
      </c>
      <c r="G122">
        <v>0.1755829903978052</v>
      </c>
    </row>
    <row r="123" spans="1:7" x14ac:dyDescent="0.3">
      <c r="A123" s="5" t="s">
        <v>151</v>
      </c>
      <c r="B123" s="5" t="s">
        <v>36</v>
      </c>
      <c r="C123">
        <v>0.25547445255474455</v>
      </c>
      <c r="D123">
        <v>0.21897810218978103</v>
      </c>
      <c r="E123">
        <v>0.20437956204379562</v>
      </c>
      <c r="F123">
        <v>0.17518248175182483</v>
      </c>
      <c r="G123">
        <v>0.145985401459854</v>
      </c>
    </row>
    <row r="124" spans="1:7" x14ac:dyDescent="0.3">
      <c r="A124" s="5" t="s">
        <v>151</v>
      </c>
      <c r="B124" s="5" t="s">
        <v>38</v>
      </c>
      <c r="C124">
        <v>0.21717171717171718</v>
      </c>
      <c r="D124">
        <v>0.18686868686868688</v>
      </c>
      <c r="E124">
        <v>0.19191919191919191</v>
      </c>
      <c r="F124">
        <v>0.19696969696969696</v>
      </c>
      <c r="G124">
        <v>0.20707070707070707</v>
      </c>
    </row>
    <row r="125" spans="1:7" x14ac:dyDescent="0.3">
      <c r="A125" s="5" t="s">
        <v>151</v>
      </c>
      <c r="B125" s="5" t="s">
        <v>40</v>
      </c>
      <c r="C125">
        <v>0.22919418758256274</v>
      </c>
      <c r="D125">
        <v>0.2166446499339498</v>
      </c>
      <c r="E125">
        <v>0.20145310435931307</v>
      </c>
      <c r="F125">
        <v>0.18428005284015853</v>
      </c>
      <c r="G125">
        <v>0.16842800528401586</v>
      </c>
    </row>
    <row r="126" spans="1:7" x14ac:dyDescent="0.3">
      <c r="A126" s="5" t="s">
        <v>151</v>
      </c>
      <c r="B126" s="5" t="s">
        <v>42</v>
      </c>
      <c r="C126">
        <v>0.15315315315315314</v>
      </c>
      <c r="D126">
        <v>0.18018018018018017</v>
      </c>
      <c r="E126">
        <v>0.19369369369369369</v>
      </c>
      <c r="F126">
        <v>0.21171171171171171</v>
      </c>
      <c r="G126">
        <v>0.26126126126126126</v>
      </c>
    </row>
    <row r="127" spans="1:7" x14ac:dyDescent="0.3">
      <c r="A127" s="5" t="s">
        <v>151</v>
      </c>
      <c r="B127" s="5" t="s">
        <v>44</v>
      </c>
      <c r="C127">
        <v>0.1875</v>
      </c>
      <c r="D127">
        <v>0.2</v>
      </c>
      <c r="E127">
        <v>0.22500000000000001</v>
      </c>
      <c r="F127">
        <v>0.2</v>
      </c>
      <c r="G127">
        <v>0.1875</v>
      </c>
    </row>
    <row r="128" spans="1:7" x14ac:dyDescent="0.3">
      <c r="A128" s="5" t="s">
        <v>151</v>
      </c>
      <c r="B128" s="5" t="s">
        <v>46</v>
      </c>
      <c r="C128">
        <v>0.16346153846153846</v>
      </c>
      <c r="D128">
        <v>0.18108974358974358</v>
      </c>
      <c r="E128">
        <v>0.19391025641025642</v>
      </c>
      <c r="F128">
        <v>0.22275641025641027</v>
      </c>
      <c r="G128">
        <v>0.23878205128205129</v>
      </c>
    </row>
    <row r="129" spans="1:7" x14ac:dyDescent="0.3">
      <c r="A129" s="5" t="s">
        <v>151</v>
      </c>
      <c r="B129" s="5" t="s">
        <v>48</v>
      </c>
      <c r="C129">
        <v>0.27131782945736432</v>
      </c>
      <c r="D129">
        <v>0.21705426356589147</v>
      </c>
      <c r="E129">
        <v>0.19379844961240311</v>
      </c>
      <c r="F129">
        <v>0.17829457364341086</v>
      </c>
      <c r="G129">
        <v>0.13953488372093023</v>
      </c>
    </row>
    <row r="130" spans="1:7" x14ac:dyDescent="0.3">
      <c r="A130" s="5" t="s">
        <v>151</v>
      </c>
      <c r="B130" s="5" t="s">
        <v>50</v>
      </c>
      <c r="C130">
        <v>0.17886178861788618</v>
      </c>
      <c r="D130">
        <v>0.17886178861788618</v>
      </c>
      <c r="E130">
        <v>0.1951219512195122</v>
      </c>
      <c r="F130">
        <v>0.20596205962059622</v>
      </c>
      <c r="G130">
        <v>0.24119241192411925</v>
      </c>
    </row>
    <row r="131" spans="1:7" x14ac:dyDescent="0.3">
      <c r="A131" s="5" t="s">
        <v>151</v>
      </c>
      <c r="B131" s="5" t="s">
        <v>52</v>
      </c>
      <c r="C131">
        <v>0.2857142857142857</v>
      </c>
      <c r="D131">
        <v>0.14285714285714285</v>
      </c>
      <c r="E131">
        <v>0.10714285714285714</v>
      </c>
      <c r="F131">
        <v>0.14285714285714285</v>
      </c>
      <c r="G131">
        <v>0.32142857142857145</v>
      </c>
    </row>
    <row r="132" spans="1:7" x14ac:dyDescent="0.3">
      <c r="A132" s="5" t="s">
        <v>151</v>
      </c>
      <c r="B132" s="5" t="s">
        <v>54</v>
      </c>
      <c r="C132">
        <v>0.16129032258064516</v>
      </c>
      <c r="D132">
        <v>0.16532258064516128</v>
      </c>
      <c r="E132">
        <v>0.17741935483870969</v>
      </c>
      <c r="F132">
        <v>0.20967741935483872</v>
      </c>
      <c r="G132">
        <v>0.28629032258064518</v>
      </c>
    </row>
    <row r="133" spans="1:7" x14ac:dyDescent="0.3">
      <c r="A133" s="5" t="s">
        <v>151</v>
      </c>
      <c r="B133" s="5" t="s">
        <v>56</v>
      </c>
      <c r="C133">
        <v>0.17704011065006917</v>
      </c>
      <c r="D133">
        <v>0.2033195020746888</v>
      </c>
      <c r="E133">
        <v>0.2074688796680498</v>
      </c>
      <c r="F133">
        <v>0.2074688796680498</v>
      </c>
      <c r="G133">
        <v>0.20470262793914246</v>
      </c>
    </row>
    <row r="134" spans="1:7" x14ac:dyDescent="0.3">
      <c r="A134" s="5" t="s">
        <v>152</v>
      </c>
      <c r="B134" s="5" t="s">
        <v>34</v>
      </c>
      <c r="C134">
        <v>0.26371061843640609</v>
      </c>
      <c r="D134">
        <v>0.23103850641773629</v>
      </c>
      <c r="E134">
        <v>0.1983663943990665</v>
      </c>
      <c r="F134">
        <v>0.17036172695449242</v>
      </c>
      <c r="G134">
        <v>0.13652275379229872</v>
      </c>
    </row>
    <row r="135" spans="1:7" x14ac:dyDescent="0.3">
      <c r="A135" s="5" t="s">
        <v>152</v>
      </c>
      <c r="B135" s="5" t="s">
        <v>36</v>
      </c>
      <c r="C135">
        <v>0.30612244897959184</v>
      </c>
      <c r="D135">
        <v>0.25510204081632654</v>
      </c>
      <c r="E135">
        <v>0.19387755102040816</v>
      </c>
      <c r="F135">
        <v>0.15306122448979592</v>
      </c>
      <c r="G135">
        <v>9.1836734693877556E-2</v>
      </c>
    </row>
    <row r="136" spans="1:7" x14ac:dyDescent="0.3">
      <c r="A136" s="5" t="s">
        <v>152</v>
      </c>
      <c r="B136" s="5" t="s">
        <v>38</v>
      </c>
      <c r="C136">
        <v>0.13257575757575757</v>
      </c>
      <c r="D136">
        <v>0.17803030303030304</v>
      </c>
      <c r="E136">
        <v>0.19696969696969696</v>
      </c>
      <c r="F136">
        <v>0.24621212121212122</v>
      </c>
      <c r="G136">
        <v>0.24621212121212122</v>
      </c>
    </row>
    <row r="137" spans="1:7" x14ac:dyDescent="0.3">
      <c r="A137" s="5" t="s">
        <v>152</v>
      </c>
      <c r="B137" s="5" t="s">
        <v>40</v>
      </c>
      <c r="C137">
        <v>0.23940520446096655</v>
      </c>
      <c r="D137">
        <v>0.21635687732342007</v>
      </c>
      <c r="E137">
        <v>0.18884758364312268</v>
      </c>
      <c r="F137">
        <v>0.17843866171003717</v>
      </c>
      <c r="G137">
        <v>0.17695167286245353</v>
      </c>
    </row>
    <row r="138" spans="1:7" x14ac:dyDescent="0.3">
      <c r="A138" s="5" t="s">
        <v>152</v>
      </c>
      <c r="B138" s="5" t="s">
        <v>42</v>
      </c>
      <c r="C138">
        <v>0.20384615384615384</v>
      </c>
      <c r="D138">
        <v>0.21153846153846154</v>
      </c>
      <c r="E138">
        <v>0.2</v>
      </c>
      <c r="F138">
        <v>0.17692307692307693</v>
      </c>
      <c r="G138">
        <v>0.2076923076923077</v>
      </c>
    </row>
    <row r="139" spans="1:7" x14ac:dyDescent="0.3">
      <c r="A139" s="5" t="s">
        <v>152</v>
      </c>
      <c r="B139" s="5" t="s">
        <v>44</v>
      </c>
      <c r="C139">
        <v>0.21111111111111111</v>
      </c>
      <c r="D139">
        <v>0.21111111111111111</v>
      </c>
      <c r="E139">
        <v>0.21851851851851853</v>
      </c>
      <c r="F139">
        <v>0.1962962962962963</v>
      </c>
      <c r="G139">
        <v>0.16296296296296298</v>
      </c>
    </row>
    <row r="140" spans="1:7" x14ac:dyDescent="0.3">
      <c r="A140" s="5" t="s">
        <v>152</v>
      </c>
      <c r="B140" s="5" t="s">
        <v>46</v>
      </c>
      <c r="C140">
        <v>0.17962003454231434</v>
      </c>
      <c r="D140">
        <v>0.17443868739205526</v>
      </c>
      <c r="E140">
        <v>0.21416234887737479</v>
      </c>
      <c r="F140">
        <v>0.21761658031088082</v>
      </c>
      <c r="G140">
        <v>0.21416234887737479</v>
      </c>
    </row>
    <row r="141" spans="1:7" x14ac:dyDescent="0.3">
      <c r="A141" s="5" t="s">
        <v>152</v>
      </c>
      <c r="B141" s="5" t="s">
        <v>48</v>
      </c>
      <c r="C141">
        <v>0.19806763285024154</v>
      </c>
      <c r="D141">
        <v>0.20772946859903382</v>
      </c>
      <c r="E141">
        <v>0.21256038647342995</v>
      </c>
      <c r="F141">
        <v>0.20289855072463769</v>
      </c>
      <c r="G141">
        <v>0.17874396135265699</v>
      </c>
    </row>
    <row r="142" spans="1:7" x14ac:dyDescent="0.3">
      <c r="A142" s="5" t="s">
        <v>152</v>
      </c>
      <c r="B142" s="5" t="s">
        <v>50</v>
      </c>
      <c r="C142">
        <v>0.12807881773399016</v>
      </c>
      <c r="D142">
        <v>0.18719211822660098</v>
      </c>
      <c r="E142">
        <v>0.21182266009852216</v>
      </c>
      <c r="F142">
        <v>0.22660098522167488</v>
      </c>
      <c r="G142">
        <v>0.24630541871921183</v>
      </c>
    </row>
    <row r="143" spans="1:7" x14ac:dyDescent="0.3">
      <c r="A143" s="5" t="s">
        <v>152</v>
      </c>
      <c r="B143" s="5" t="s">
        <v>52</v>
      </c>
      <c r="C143">
        <v>5.7471264367816091E-2</v>
      </c>
      <c r="D143">
        <v>8.6206896551724144E-2</v>
      </c>
      <c r="E143">
        <v>0.16666666666666666</v>
      </c>
      <c r="F143">
        <v>0.3045977011494253</v>
      </c>
      <c r="G143">
        <v>0.38505747126436779</v>
      </c>
    </row>
    <row r="144" spans="1:7" x14ac:dyDescent="0.3">
      <c r="A144" s="5" t="s">
        <v>152</v>
      </c>
      <c r="B144" s="5" t="s">
        <v>54</v>
      </c>
      <c r="C144">
        <v>0.11253196930946291</v>
      </c>
      <c r="D144">
        <v>0.16112531969309463</v>
      </c>
      <c r="E144">
        <v>0.20460358056265984</v>
      </c>
      <c r="F144">
        <v>0.23529411764705882</v>
      </c>
      <c r="G144">
        <v>0.28644501278772377</v>
      </c>
    </row>
    <row r="145" spans="1:7" x14ac:dyDescent="0.3">
      <c r="A145" s="5" t="s">
        <v>152</v>
      </c>
      <c r="B145" s="5" t="s">
        <v>56</v>
      </c>
      <c r="C145">
        <v>0.1501416430594901</v>
      </c>
      <c r="D145">
        <v>0.18980169971671387</v>
      </c>
      <c r="E145">
        <v>0.20963172804532579</v>
      </c>
      <c r="F145">
        <v>0.21529745042492918</v>
      </c>
      <c r="G145">
        <v>0.23512747875354106</v>
      </c>
    </row>
    <row r="146" spans="1:7" x14ac:dyDescent="0.3">
      <c r="A146" s="5" t="s">
        <v>153</v>
      </c>
      <c r="B146" s="5" t="s">
        <v>34</v>
      </c>
      <c r="C146">
        <v>0.22976098689282962</v>
      </c>
      <c r="D146">
        <v>0.220508866615266</v>
      </c>
      <c r="E146">
        <v>0.20740169622205087</v>
      </c>
      <c r="F146">
        <v>0.19275250578257516</v>
      </c>
      <c r="G146">
        <v>0.14957594448727835</v>
      </c>
    </row>
    <row r="147" spans="1:7" x14ac:dyDescent="0.3">
      <c r="A147" s="5" t="s">
        <v>153</v>
      </c>
      <c r="B147" s="5" t="s">
        <v>36</v>
      </c>
      <c r="C147">
        <v>0.16326530612244897</v>
      </c>
      <c r="D147">
        <v>0.20408163265306123</v>
      </c>
      <c r="E147">
        <v>0.20408163265306123</v>
      </c>
      <c r="F147">
        <v>0.22448979591836735</v>
      </c>
      <c r="G147">
        <v>0.20408163265306123</v>
      </c>
    </row>
    <row r="148" spans="1:7" x14ac:dyDescent="0.3">
      <c r="A148" s="5" t="s">
        <v>153</v>
      </c>
      <c r="B148" s="5" t="s">
        <v>38</v>
      </c>
      <c r="C148">
        <v>0.1134453781512605</v>
      </c>
      <c r="D148">
        <v>0.17647058823529413</v>
      </c>
      <c r="E148">
        <v>0.18907563025210083</v>
      </c>
      <c r="F148">
        <v>0.22689075630252101</v>
      </c>
      <c r="G148">
        <v>0.29411764705882354</v>
      </c>
    </row>
    <row r="149" spans="1:7" x14ac:dyDescent="0.3">
      <c r="A149" s="5" t="s">
        <v>153</v>
      </c>
      <c r="B149" s="5" t="s">
        <v>40</v>
      </c>
      <c r="C149">
        <v>0.26911314984709478</v>
      </c>
      <c r="D149">
        <v>0.22094801223241589</v>
      </c>
      <c r="E149">
        <v>0.18960244648318042</v>
      </c>
      <c r="F149">
        <v>0.16819571865443425</v>
      </c>
      <c r="G149">
        <v>0.15214067278287463</v>
      </c>
    </row>
    <row r="150" spans="1:7" x14ac:dyDescent="0.3">
      <c r="A150" s="5" t="s">
        <v>153</v>
      </c>
      <c r="B150" s="5" t="s">
        <v>42</v>
      </c>
      <c r="C150">
        <v>0.11702127659574468</v>
      </c>
      <c r="D150">
        <v>0.17553191489361702</v>
      </c>
      <c r="E150">
        <v>0.20744680851063829</v>
      </c>
      <c r="F150">
        <v>0.22340425531914893</v>
      </c>
      <c r="G150">
        <v>0.27659574468085107</v>
      </c>
    </row>
    <row r="151" spans="1:7" x14ac:dyDescent="0.3">
      <c r="A151" s="5" t="s">
        <v>153</v>
      </c>
      <c r="B151" s="5" t="s">
        <v>44</v>
      </c>
      <c r="C151">
        <v>0.29705882352941176</v>
      </c>
      <c r="D151">
        <v>0.22647058823529412</v>
      </c>
      <c r="E151">
        <v>0.21176470588235294</v>
      </c>
      <c r="F151">
        <v>0.14411764705882352</v>
      </c>
      <c r="G151">
        <v>0.12058823529411765</v>
      </c>
    </row>
    <row r="152" spans="1:7" x14ac:dyDescent="0.3">
      <c r="A152" s="5" t="s">
        <v>153</v>
      </c>
      <c r="B152" s="5" t="s">
        <v>46</v>
      </c>
      <c r="C152">
        <v>7.5050709939148072E-2</v>
      </c>
      <c r="D152">
        <v>0.1440162271805274</v>
      </c>
      <c r="E152">
        <v>0.21095334685598377</v>
      </c>
      <c r="F152">
        <v>0.25760649087221094</v>
      </c>
      <c r="G152">
        <v>0.31237322515212984</v>
      </c>
    </row>
    <row r="153" spans="1:7" x14ac:dyDescent="0.3">
      <c r="A153" s="5" t="s">
        <v>153</v>
      </c>
      <c r="B153" s="5" t="s">
        <v>48</v>
      </c>
      <c r="C153">
        <v>0.18811881188118812</v>
      </c>
      <c r="D153">
        <v>0.20792079207920791</v>
      </c>
      <c r="E153">
        <v>0.21287128712871287</v>
      </c>
      <c r="F153">
        <v>0.21782178217821782</v>
      </c>
      <c r="G153">
        <v>0.17326732673267325</v>
      </c>
    </row>
    <row r="154" spans="1:7" x14ac:dyDescent="0.3">
      <c r="A154" s="5" t="s">
        <v>153</v>
      </c>
      <c r="B154" s="5" t="s">
        <v>50</v>
      </c>
      <c r="C154">
        <v>0.15047021943573669</v>
      </c>
      <c r="D154">
        <v>0.17554858934169279</v>
      </c>
      <c r="E154">
        <v>0.17554858934169279</v>
      </c>
      <c r="F154">
        <v>0.21943573667711599</v>
      </c>
      <c r="G154">
        <v>0.27899686520376177</v>
      </c>
    </row>
    <row r="155" spans="1:7" x14ac:dyDescent="0.3">
      <c r="A155" s="5" t="s">
        <v>153</v>
      </c>
      <c r="B155" s="5" t="s">
        <v>52</v>
      </c>
      <c r="C155">
        <v>2.1276595744680851E-2</v>
      </c>
      <c r="D155">
        <v>0.19148936170212766</v>
      </c>
      <c r="E155">
        <v>0.21276595744680851</v>
      </c>
      <c r="F155">
        <v>0.23404255319148937</v>
      </c>
      <c r="G155">
        <v>0.34042553191489361</v>
      </c>
    </row>
    <row r="156" spans="1:7" x14ac:dyDescent="0.3">
      <c r="A156" s="5" t="s">
        <v>153</v>
      </c>
      <c r="B156" s="5" t="s">
        <v>54</v>
      </c>
      <c r="C156">
        <v>0.10869565217391304</v>
      </c>
      <c r="D156">
        <v>0.1358695652173913</v>
      </c>
      <c r="E156">
        <v>0.18478260869565216</v>
      </c>
      <c r="F156">
        <v>0.2391304347826087</v>
      </c>
      <c r="G156">
        <v>0.33152173913043476</v>
      </c>
    </row>
    <row r="157" spans="1:7" x14ac:dyDescent="0.3">
      <c r="A157" s="5" t="s">
        <v>153</v>
      </c>
      <c r="B157" s="5" t="s">
        <v>56</v>
      </c>
      <c r="C157">
        <v>0.13617021276595745</v>
      </c>
      <c r="D157">
        <v>0.1702127659574468</v>
      </c>
      <c r="E157">
        <v>0.20851063829787234</v>
      </c>
      <c r="F157">
        <v>0.23829787234042554</v>
      </c>
      <c r="G157">
        <v>0.24680851063829787</v>
      </c>
    </row>
    <row r="158" spans="1:7" x14ac:dyDescent="0.3">
      <c r="A158" s="5" t="s">
        <v>154</v>
      </c>
      <c r="B158" s="5" t="s">
        <v>34</v>
      </c>
      <c r="C158">
        <v>0.24867323730098559</v>
      </c>
      <c r="D158">
        <v>0.21758908263836241</v>
      </c>
      <c r="E158">
        <v>0.2001516300227445</v>
      </c>
      <c r="F158">
        <v>0.18271417740712662</v>
      </c>
      <c r="G158">
        <v>0.15087187263078089</v>
      </c>
    </row>
    <row r="159" spans="1:7" x14ac:dyDescent="0.3">
      <c r="A159" s="5" t="s">
        <v>154</v>
      </c>
      <c r="B159" s="5" t="s">
        <v>36</v>
      </c>
      <c r="C159">
        <v>0.27108433734939757</v>
      </c>
      <c r="D159">
        <v>0.19879518072289157</v>
      </c>
      <c r="E159">
        <v>0.20481927710843373</v>
      </c>
      <c r="F159">
        <v>0.16867469879518071</v>
      </c>
      <c r="G159">
        <v>0.15662650602409639</v>
      </c>
    </row>
    <row r="160" spans="1:7" x14ac:dyDescent="0.3">
      <c r="A160" s="5" t="s">
        <v>154</v>
      </c>
      <c r="B160" s="5" t="s">
        <v>38</v>
      </c>
      <c r="C160">
        <v>0.13389121338912133</v>
      </c>
      <c r="D160">
        <v>0.16736401673640167</v>
      </c>
      <c r="E160">
        <v>0.1799163179916318</v>
      </c>
      <c r="F160">
        <v>0.21338912133891214</v>
      </c>
      <c r="G160">
        <v>0.30543933054393307</v>
      </c>
    </row>
    <row r="161" spans="1:7" x14ac:dyDescent="0.3">
      <c r="A161" s="5" t="s">
        <v>154</v>
      </c>
      <c r="B161" s="5" t="s">
        <v>40</v>
      </c>
      <c r="C161">
        <v>0.19437939110070257</v>
      </c>
      <c r="D161">
        <v>0.21370023419203746</v>
      </c>
      <c r="E161">
        <v>0.21604215456674472</v>
      </c>
      <c r="F161">
        <v>0.20023419203747073</v>
      </c>
      <c r="G161">
        <v>0.1756440281030445</v>
      </c>
    </row>
    <row r="162" spans="1:7" x14ac:dyDescent="0.3">
      <c r="A162" s="5" t="s">
        <v>154</v>
      </c>
      <c r="B162" s="5" t="s">
        <v>42</v>
      </c>
      <c r="C162">
        <v>0.18446601941747573</v>
      </c>
      <c r="D162">
        <v>0.1941747572815534</v>
      </c>
      <c r="E162">
        <v>0.1941747572815534</v>
      </c>
      <c r="F162">
        <v>0.20388349514563106</v>
      </c>
      <c r="G162">
        <v>0.22330097087378642</v>
      </c>
    </row>
    <row r="163" spans="1:7" x14ac:dyDescent="0.3">
      <c r="A163" s="5" t="s">
        <v>154</v>
      </c>
      <c r="B163" s="5" t="s">
        <v>44</v>
      </c>
      <c r="C163">
        <v>0.26353790613718414</v>
      </c>
      <c r="D163">
        <v>0.20216606498194944</v>
      </c>
      <c r="E163">
        <v>0.18772563176895307</v>
      </c>
      <c r="F163">
        <v>0.19133574007220217</v>
      </c>
      <c r="G163">
        <v>0.1552346570397112</v>
      </c>
    </row>
    <row r="164" spans="1:7" x14ac:dyDescent="0.3">
      <c r="A164" s="5" t="s">
        <v>154</v>
      </c>
      <c r="B164" s="5" t="s">
        <v>46</v>
      </c>
      <c r="C164">
        <v>0.10144927536231885</v>
      </c>
      <c r="D164">
        <v>0.15072463768115943</v>
      </c>
      <c r="E164">
        <v>0.17681159420289855</v>
      </c>
      <c r="F164">
        <v>0.25217391304347825</v>
      </c>
      <c r="G164">
        <v>0.3188405797101449</v>
      </c>
    </row>
    <row r="165" spans="1:7" x14ac:dyDescent="0.3">
      <c r="A165" s="5" t="s">
        <v>154</v>
      </c>
      <c r="B165" s="5" t="s">
        <v>48</v>
      </c>
      <c r="C165">
        <v>0.17682926829268292</v>
      </c>
      <c r="D165">
        <v>0.20121951219512196</v>
      </c>
      <c r="E165">
        <v>0.2073170731707317</v>
      </c>
      <c r="F165">
        <v>0.21341463414634146</v>
      </c>
      <c r="G165">
        <v>0.20121951219512196</v>
      </c>
    </row>
    <row r="166" spans="1:7" x14ac:dyDescent="0.3">
      <c r="A166" s="5" t="s">
        <v>154</v>
      </c>
      <c r="B166" s="5" t="s">
        <v>50</v>
      </c>
      <c r="C166">
        <v>0.14349775784753363</v>
      </c>
      <c r="D166">
        <v>0.17040358744394618</v>
      </c>
      <c r="E166">
        <v>0.18834080717488788</v>
      </c>
      <c r="F166">
        <v>0.20179372197309417</v>
      </c>
      <c r="G166">
        <v>0.29596412556053814</v>
      </c>
    </row>
    <row r="167" spans="1:7" x14ac:dyDescent="0.3">
      <c r="A167" s="5" t="s">
        <v>154</v>
      </c>
      <c r="B167" s="5" t="s">
        <v>52</v>
      </c>
      <c r="C167">
        <v>4.1666666666666664E-2</v>
      </c>
      <c r="D167">
        <v>0.125</v>
      </c>
      <c r="E167">
        <v>0.16666666666666666</v>
      </c>
      <c r="F167">
        <v>0.29166666666666669</v>
      </c>
      <c r="G167">
        <v>0.375</v>
      </c>
    </row>
    <row r="168" spans="1:7" x14ac:dyDescent="0.3">
      <c r="A168" s="5" t="s">
        <v>154</v>
      </c>
      <c r="B168" s="5" t="s">
        <v>54</v>
      </c>
      <c r="C168">
        <v>0.13223140495867769</v>
      </c>
      <c r="D168">
        <v>0.1487603305785124</v>
      </c>
      <c r="E168">
        <v>0.16528925619834711</v>
      </c>
      <c r="F168">
        <v>0.19834710743801653</v>
      </c>
      <c r="G168">
        <v>0.35537190082644626</v>
      </c>
    </row>
    <row r="169" spans="1:7" x14ac:dyDescent="0.3">
      <c r="A169" s="5" t="s">
        <v>154</v>
      </c>
      <c r="B169" s="5" t="s">
        <v>56</v>
      </c>
      <c r="C169">
        <v>0.18396226415094338</v>
      </c>
      <c r="D169">
        <v>0.17452830188679244</v>
      </c>
      <c r="E169">
        <v>0.17452830188679244</v>
      </c>
      <c r="F169">
        <v>0.22169811320754718</v>
      </c>
      <c r="G169">
        <v>0.24528301886792453</v>
      </c>
    </row>
    <row r="170" spans="1:7" x14ac:dyDescent="0.3">
      <c r="A170" s="5" t="s">
        <v>155</v>
      </c>
      <c r="B170" s="5" t="s">
        <v>34</v>
      </c>
      <c r="C170">
        <v>0.23695652173913043</v>
      </c>
      <c r="D170">
        <v>0.20434782608695654</v>
      </c>
      <c r="E170">
        <v>0.21304347826086956</v>
      </c>
      <c r="F170">
        <v>0.18913043478260869</v>
      </c>
      <c r="G170">
        <v>0.15652173913043479</v>
      </c>
    </row>
    <row r="171" spans="1:7" x14ac:dyDescent="0.3">
      <c r="A171" s="5" t="s">
        <v>155</v>
      </c>
      <c r="B171" s="5" t="s">
        <v>36</v>
      </c>
      <c r="C171">
        <v>0.25</v>
      </c>
      <c r="D171">
        <v>0.19444444444444445</v>
      </c>
      <c r="E171">
        <v>0.22222222222222221</v>
      </c>
      <c r="F171">
        <v>0.18055555555555555</v>
      </c>
      <c r="G171">
        <v>0.15277777777777779</v>
      </c>
    </row>
    <row r="172" spans="1:7" x14ac:dyDescent="0.3">
      <c r="A172" s="5" t="s">
        <v>155</v>
      </c>
      <c r="B172" s="5" t="s">
        <v>38</v>
      </c>
      <c r="C172">
        <v>0.16015625</v>
      </c>
      <c r="D172">
        <v>0.19140625</v>
      </c>
      <c r="E172">
        <v>0.203125</v>
      </c>
      <c r="F172">
        <v>0.21875</v>
      </c>
      <c r="G172">
        <v>0.2265625</v>
      </c>
    </row>
    <row r="173" spans="1:7" x14ac:dyDescent="0.3">
      <c r="A173" s="5" t="s">
        <v>155</v>
      </c>
      <c r="B173" s="5" t="s">
        <v>40</v>
      </c>
      <c r="C173">
        <v>0.22515440763615946</v>
      </c>
      <c r="D173">
        <v>0.20101066816395283</v>
      </c>
      <c r="E173">
        <v>0.1965188096574958</v>
      </c>
      <c r="F173">
        <v>0.18023582257158899</v>
      </c>
      <c r="G173">
        <v>0.19708029197080293</v>
      </c>
    </row>
    <row r="174" spans="1:7" x14ac:dyDescent="0.3">
      <c r="A174" s="5" t="s">
        <v>155</v>
      </c>
      <c r="B174" s="5" t="s">
        <v>42</v>
      </c>
      <c r="C174">
        <v>0.13148788927335639</v>
      </c>
      <c r="D174">
        <v>0.17301038062283736</v>
      </c>
      <c r="E174">
        <v>0.2179930795847751</v>
      </c>
      <c r="F174">
        <v>0.2179930795847751</v>
      </c>
      <c r="G174">
        <v>0.25951557093425603</v>
      </c>
    </row>
    <row r="175" spans="1:7" x14ac:dyDescent="0.3">
      <c r="A175" s="5" t="s">
        <v>155</v>
      </c>
      <c r="B175" s="5" t="s">
        <v>44</v>
      </c>
      <c r="C175">
        <v>0.216</v>
      </c>
      <c r="D175">
        <v>0.20799999999999999</v>
      </c>
      <c r="E175">
        <v>0.2</v>
      </c>
      <c r="F175">
        <v>0.216</v>
      </c>
      <c r="G175">
        <v>0.16</v>
      </c>
    </row>
    <row r="176" spans="1:7" x14ac:dyDescent="0.3">
      <c r="A176" s="5" t="s">
        <v>155</v>
      </c>
      <c r="B176" s="5" t="s">
        <v>46</v>
      </c>
      <c r="C176">
        <v>0.17882689556509299</v>
      </c>
      <c r="D176">
        <v>0.20314735336194564</v>
      </c>
      <c r="E176">
        <v>0.19742489270386265</v>
      </c>
      <c r="F176">
        <v>0.23175965665236051</v>
      </c>
      <c r="G176">
        <v>0.18884120171673821</v>
      </c>
    </row>
    <row r="177" spans="1:7" x14ac:dyDescent="0.3">
      <c r="A177" s="5" t="s">
        <v>155</v>
      </c>
      <c r="B177" s="5" t="s">
        <v>48</v>
      </c>
      <c r="C177">
        <v>0.23703703703703705</v>
      </c>
      <c r="D177">
        <v>0.23703703703703705</v>
      </c>
      <c r="E177">
        <v>0.2074074074074074</v>
      </c>
      <c r="F177">
        <v>0.17777777777777778</v>
      </c>
      <c r="G177">
        <v>0.14074074074074075</v>
      </c>
    </row>
    <row r="178" spans="1:7" x14ac:dyDescent="0.3">
      <c r="A178" s="5" t="s">
        <v>155</v>
      </c>
      <c r="B178" s="5" t="s">
        <v>50</v>
      </c>
      <c r="C178">
        <v>0.16109422492401215</v>
      </c>
      <c r="D178">
        <v>0.18541033434650456</v>
      </c>
      <c r="E178">
        <v>0.20364741641337386</v>
      </c>
      <c r="F178">
        <v>0.21884498480243161</v>
      </c>
      <c r="G178">
        <v>0.23100303951367782</v>
      </c>
    </row>
    <row r="179" spans="1:7" x14ac:dyDescent="0.3">
      <c r="A179" s="5" t="s">
        <v>155</v>
      </c>
      <c r="B179" s="5" t="s">
        <v>52</v>
      </c>
      <c r="C179">
        <v>0.2</v>
      </c>
      <c r="D179">
        <v>0.32500000000000001</v>
      </c>
      <c r="E179">
        <v>0.125</v>
      </c>
      <c r="F179">
        <v>0.125</v>
      </c>
      <c r="G179">
        <v>0.22500000000000001</v>
      </c>
    </row>
    <row r="180" spans="1:7" x14ac:dyDescent="0.3">
      <c r="A180" s="5" t="s">
        <v>155</v>
      </c>
      <c r="B180" s="5" t="s">
        <v>54</v>
      </c>
      <c r="C180">
        <v>0.18045112781954886</v>
      </c>
      <c r="D180">
        <v>0.19548872180451127</v>
      </c>
      <c r="E180">
        <v>0.18796992481203006</v>
      </c>
      <c r="F180">
        <v>0.20300751879699247</v>
      </c>
      <c r="G180">
        <v>0.23308270676691728</v>
      </c>
    </row>
    <row r="181" spans="1:7" x14ac:dyDescent="0.3">
      <c r="A181" s="5" t="s">
        <v>155</v>
      </c>
      <c r="B181" s="5" t="s">
        <v>56</v>
      </c>
      <c r="C181">
        <v>0.18269230769230768</v>
      </c>
      <c r="D181">
        <v>0.19951923076923078</v>
      </c>
      <c r="E181">
        <v>0.20192307692307693</v>
      </c>
      <c r="F181">
        <v>0.21394230769230768</v>
      </c>
      <c r="G181">
        <v>0.20192307692307693</v>
      </c>
    </row>
    <row r="182" spans="1:7" x14ac:dyDescent="0.3">
      <c r="A182" s="5" t="s">
        <v>156</v>
      </c>
      <c r="B182" s="5" t="s">
        <v>34</v>
      </c>
      <c r="C182">
        <v>0.21878025169409487</v>
      </c>
      <c r="D182">
        <v>0.21490803484995161</v>
      </c>
      <c r="E182">
        <v>0.20813165537270087</v>
      </c>
      <c r="F182">
        <v>0.19070667957405615</v>
      </c>
      <c r="G182">
        <v>0.16747337850919652</v>
      </c>
    </row>
    <row r="183" spans="1:7" x14ac:dyDescent="0.3">
      <c r="A183" s="5" t="s">
        <v>156</v>
      </c>
      <c r="B183" s="5" t="s">
        <v>36</v>
      </c>
      <c r="C183">
        <v>0.27586206896551724</v>
      </c>
      <c r="D183">
        <v>0.20689655172413793</v>
      </c>
      <c r="E183">
        <v>0.18620689655172415</v>
      </c>
      <c r="F183">
        <v>0.1793103448275862</v>
      </c>
      <c r="G183">
        <v>0.15172413793103448</v>
      </c>
    </row>
    <row r="184" spans="1:7" x14ac:dyDescent="0.3">
      <c r="A184" s="5" t="s">
        <v>156</v>
      </c>
      <c r="B184" s="5" t="s">
        <v>38</v>
      </c>
      <c r="C184">
        <v>0.12162162162162163</v>
      </c>
      <c r="D184">
        <v>0.1554054054054054</v>
      </c>
      <c r="E184">
        <v>0.18243243243243243</v>
      </c>
      <c r="F184">
        <v>0.23648648648648649</v>
      </c>
      <c r="G184">
        <v>0.30405405405405406</v>
      </c>
    </row>
    <row r="185" spans="1:7" x14ac:dyDescent="0.3">
      <c r="A185" s="5" t="s">
        <v>156</v>
      </c>
      <c r="B185" s="5" t="s">
        <v>40</v>
      </c>
      <c r="C185">
        <v>0.23532414497192444</v>
      </c>
      <c r="D185">
        <v>0.222052067381317</v>
      </c>
      <c r="E185">
        <v>0.20316488004083716</v>
      </c>
      <c r="F185">
        <v>0.18121490556406331</v>
      </c>
      <c r="G185">
        <v>0.1582440020418581</v>
      </c>
    </row>
    <row r="186" spans="1:7" x14ac:dyDescent="0.3">
      <c r="A186" s="5" t="s">
        <v>156</v>
      </c>
      <c r="B186" s="5" t="s">
        <v>42</v>
      </c>
      <c r="C186">
        <v>0.16025641025641027</v>
      </c>
      <c r="D186">
        <v>0.20512820512820512</v>
      </c>
      <c r="E186">
        <v>0.19230769230769232</v>
      </c>
      <c r="F186">
        <v>0.21794871794871795</v>
      </c>
      <c r="G186">
        <v>0.22435897435897437</v>
      </c>
    </row>
    <row r="187" spans="1:7" x14ac:dyDescent="0.3">
      <c r="A187" s="5" t="s">
        <v>156</v>
      </c>
      <c r="B187" s="5" t="s">
        <v>44</v>
      </c>
      <c r="C187">
        <v>0.21698113207547171</v>
      </c>
      <c r="D187">
        <v>0.22641509433962265</v>
      </c>
      <c r="E187">
        <v>0.18867924528301888</v>
      </c>
      <c r="F187">
        <v>0.19339622641509435</v>
      </c>
      <c r="G187">
        <v>0.17452830188679244</v>
      </c>
    </row>
    <row r="188" spans="1:7" x14ac:dyDescent="0.3">
      <c r="A188" s="5" t="s">
        <v>156</v>
      </c>
      <c r="B188" s="5" t="s">
        <v>46</v>
      </c>
      <c r="C188">
        <v>0.10209424083769633</v>
      </c>
      <c r="D188">
        <v>0.11518324607329843</v>
      </c>
      <c r="E188">
        <v>0.18324607329842932</v>
      </c>
      <c r="F188">
        <v>0.25392670157068065</v>
      </c>
      <c r="G188">
        <v>0.34554973821989526</v>
      </c>
    </row>
    <row r="189" spans="1:7" x14ac:dyDescent="0.3">
      <c r="A189" s="5" t="s">
        <v>156</v>
      </c>
      <c r="B189" s="5" t="s">
        <v>48</v>
      </c>
      <c r="C189">
        <v>0.16901408450704225</v>
      </c>
      <c r="D189">
        <v>0.19014084507042253</v>
      </c>
      <c r="E189">
        <v>0.21126760563380281</v>
      </c>
      <c r="F189">
        <v>0.22535211267605634</v>
      </c>
      <c r="G189">
        <v>0.20422535211267606</v>
      </c>
    </row>
    <row r="190" spans="1:7" x14ac:dyDescent="0.3">
      <c r="A190" s="5" t="s">
        <v>156</v>
      </c>
      <c r="B190" s="5" t="s">
        <v>50</v>
      </c>
      <c r="C190">
        <v>0.13445378151260504</v>
      </c>
      <c r="D190">
        <v>0.15126050420168066</v>
      </c>
      <c r="E190">
        <v>0.18907563025210083</v>
      </c>
      <c r="F190">
        <v>0.22689075630252101</v>
      </c>
      <c r="G190">
        <v>0.29831932773109243</v>
      </c>
    </row>
    <row r="191" spans="1:7" x14ac:dyDescent="0.3">
      <c r="A191" s="5" t="s">
        <v>156</v>
      </c>
      <c r="B191" s="5" t="s">
        <v>52</v>
      </c>
      <c r="C191">
        <v>0.125</v>
      </c>
      <c r="D191">
        <v>0.15625</v>
      </c>
      <c r="E191">
        <v>0.1875</v>
      </c>
      <c r="F191">
        <v>0.21875</v>
      </c>
      <c r="G191">
        <v>0.3125</v>
      </c>
    </row>
    <row r="192" spans="1:7" x14ac:dyDescent="0.3">
      <c r="A192" s="5" t="s">
        <v>156</v>
      </c>
      <c r="B192" s="5" t="s">
        <v>54</v>
      </c>
      <c r="C192">
        <v>0.10077519379844961</v>
      </c>
      <c r="D192">
        <v>0.15503875968992248</v>
      </c>
      <c r="E192">
        <v>0.19379844961240311</v>
      </c>
      <c r="F192">
        <v>0.23255813953488372</v>
      </c>
      <c r="G192">
        <v>0.31782945736434109</v>
      </c>
    </row>
    <row r="193" spans="1:7" x14ac:dyDescent="0.3">
      <c r="A193" s="5" t="s">
        <v>156</v>
      </c>
      <c r="B193" s="5" t="s">
        <v>56</v>
      </c>
      <c r="C193">
        <v>0.1708185053380783</v>
      </c>
      <c r="D193">
        <v>0.18149466192170818</v>
      </c>
      <c r="E193">
        <v>0.199288256227758</v>
      </c>
      <c r="F193">
        <v>0.21708185053380782</v>
      </c>
      <c r="G193">
        <v>0.23131672597864769</v>
      </c>
    </row>
    <row r="194" spans="1:7" x14ac:dyDescent="0.3">
      <c r="A194" s="5" t="s">
        <v>157</v>
      </c>
      <c r="B194" s="5" t="s">
        <v>34</v>
      </c>
      <c r="C194">
        <v>0.2412818096135721</v>
      </c>
      <c r="D194">
        <v>0.23656927426955701</v>
      </c>
      <c r="E194">
        <v>0.19509896324222431</v>
      </c>
      <c r="F194">
        <v>0.17530631479736097</v>
      </c>
      <c r="G194">
        <v>0.15174363807728558</v>
      </c>
    </row>
    <row r="195" spans="1:7" x14ac:dyDescent="0.3">
      <c r="A195" s="5" t="s">
        <v>157</v>
      </c>
      <c r="B195" s="5" t="s">
        <v>36</v>
      </c>
      <c r="C195">
        <v>0.24409448818897639</v>
      </c>
      <c r="D195">
        <v>0.22047244094488189</v>
      </c>
      <c r="E195">
        <v>0.2125984251968504</v>
      </c>
      <c r="F195">
        <v>0.16535433070866143</v>
      </c>
      <c r="G195">
        <v>0.15748031496062992</v>
      </c>
    </row>
    <row r="196" spans="1:7" x14ac:dyDescent="0.3">
      <c r="A196" s="5" t="s">
        <v>157</v>
      </c>
      <c r="B196" s="5" t="s">
        <v>38</v>
      </c>
      <c r="C196">
        <v>0.15135135135135136</v>
      </c>
      <c r="D196">
        <v>0.15405405405405406</v>
      </c>
      <c r="E196">
        <v>0.22432432432432434</v>
      </c>
      <c r="F196">
        <v>0.23513513513513515</v>
      </c>
      <c r="G196">
        <v>0.23513513513513515</v>
      </c>
    </row>
    <row r="197" spans="1:7" x14ac:dyDescent="0.3">
      <c r="A197" s="5" t="s">
        <v>157</v>
      </c>
      <c r="B197" s="5" t="s">
        <v>40</v>
      </c>
      <c r="C197">
        <v>0.33679833679833682</v>
      </c>
      <c r="D197">
        <v>0.22661122661122662</v>
      </c>
      <c r="E197">
        <v>0.16839916839916841</v>
      </c>
      <c r="F197">
        <v>0.13721413721413722</v>
      </c>
      <c r="G197">
        <v>0.13097713097713098</v>
      </c>
    </row>
    <row r="198" spans="1:7" x14ac:dyDescent="0.3">
      <c r="A198" s="5" t="s">
        <v>157</v>
      </c>
      <c r="B198" s="5" t="s">
        <v>42</v>
      </c>
      <c r="C198">
        <v>0.19008264462809918</v>
      </c>
      <c r="D198">
        <v>0.1928374655647383</v>
      </c>
      <c r="E198">
        <v>0.19834710743801653</v>
      </c>
      <c r="F198">
        <v>0.19834710743801653</v>
      </c>
      <c r="G198">
        <v>0.22038567493112948</v>
      </c>
    </row>
    <row r="199" spans="1:7" x14ac:dyDescent="0.3">
      <c r="A199" s="5" t="s">
        <v>157</v>
      </c>
      <c r="B199" s="5" t="s">
        <v>44</v>
      </c>
      <c r="C199">
        <v>0.22483221476510068</v>
      </c>
      <c r="D199">
        <v>0.24161073825503357</v>
      </c>
      <c r="E199">
        <v>0.19798657718120805</v>
      </c>
      <c r="F199">
        <v>0.18791946308724833</v>
      </c>
      <c r="G199">
        <v>0.1476510067114094</v>
      </c>
    </row>
    <row r="200" spans="1:7" x14ac:dyDescent="0.3">
      <c r="A200" s="5" t="s">
        <v>157</v>
      </c>
      <c r="B200" s="5" t="s">
        <v>46</v>
      </c>
      <c r="C200">
        <v>0.13935681470137826</v>
      </c>
      <c r="D200">
        <v>0.16232771822358347</v>
      </c>
      <c r="E200">
        <v>0.20980091883614088</v>
      </c>
      <c r="F200">
        <v>0.21898928024502298</v>
      </c>
      <c r="G200">
        <v>0.26952526799387444</v>
      </c>
    </row>
    <row r="201" spans="1:7" x14ac:dyDescent="0.3">
      <c r="A201" s="5" t="s">
        <v>157</v>
      </c>
      <c r="B201" s="5" t="s">
        <v>48</v>
      </c>
      <c r="C201">
        <v>0.20982142857142858</v>
      </c>
      <c r="D201">
        <v>0.22767857142857142</v>
      </c>
      <c r="E201">
        <v>0.20089285714285715</v>
      </c>
      <c r="F201">
        <v>0.1875</v>
      </c>
      <c r="G201">
        <v>0.17410714285714285</v>
      </c>
    </row>
    <row r="202" spans="1:7" x14ac:dyDescent="0.3">
      <c r="A202" s="5" t="s">
        <v>157</v>
      </c>
      <c r="B202" s="5" t="s">
        <v>50</v>
      </c>
      <c r="C202">
        <v>0.15064935064935064</v>
      </c>
      <c r="D202">
        <v>0.17662337662337663</v>
      </c>
      <c r="E202">
        <v>0.20519480519480521</v>
      </c>
      <c r="F202">
        <v>0.26493506493506491</v>
      </c>
      <c r="G202">
        <v>0.20259740259740261</v>
      </c>
    </row>
    <row r="203" spans="1:7" x14ac:dyDescent="0.3">
      <c r="A203" s="5" t="s">
        <v>157</v>
      </c>
      <c r="B203" s="5" t="s">
        <v>52</v>
      </c>
      <c r="C203">
        <v>7.3770491803278687E-2</v>
      </c>
      <c r="D203">
        <v>0.1721311475409836</v>
      </c>
      <c r="E203">
        <v>0.18852459016393441</v>
      </c>
      <c r="F203">
        <v>0.27049180327868855</v>
      </c>
      <c r="G203">
        <v>0.29508196721311475</v>
      </c>
    </row>
    <row r="204" spans="1:7" x14ac:dyDescent="0.3">
      <c r="A204" s="5" t="s">
        <v>157</v>
      </c>
      <c r="B204" s="5" t="s">
        <v>54</v>
      </c>
      <c r="C204">
        <v>0.17164179104477612</v>
      </c>
      <c r="D204">
        <v>0.18656716417910449</v>
      </c>
      <c r="E204">
        <v>0.21144278606965175</v>
      </c>
      <c r="F204">
        <v>0.20895522388059701</v>
      </c>
      <c r="G204">
        <v>0.22139303482587064</v>
      </c>
    </row>
    <row r="205" spans="1:7" x14ac:dyDescent="0.3">
      <c r="A205" s="5" t="s">
        <v>157</v>
      </c>
      <c r="B205" s="5" t="s">
        <v>56</v>
      </c>
      <c r="C205">
        <v>0.16536964980544747</v>
      </c>
      <c r="D205">
        <v>0.17509727626459143</v>
      </c>
      <c r="E205">
        <v>0.20233463035019456</v>
      </c>
      <c r="F205">
        <v>0.21206225680933852</v>
      </c>
      <c r="G205">
        <v>0.24513618677042801</v>
      </c>
    </row>
    <row r="206" spans="1:7" x14ac:dyDescent="0.3">
      <c r="A206" s="5" t="s">
        <v>158</v>
      </c>
      <c r="B206" s="5" t="s">
        <v>34</v>
      </c>
      <c r="C206">
        <v>0.19662921348314608</v>
      </c>
      <c r="D206">
        <v>0.20786516853932585</v>
      </c>
      <c r="E206">
        <v>0.20224719101123595</v>
      </c>
      <c r="F206">
        <v>0.20224719101123595</v>
      </c>
      <c r="G206">
        <v>0.19101123595505617</v>
      </c>
    </row>
    <row r="207" spans="1:7" x14ac:dyDescent="0.3">
      <c r="A207" s="5" t="s">
        <v>158</v>
      </c>
      <c r="B207" s="5" t="s">
        <v>36</v>
      </c>
      <c r="C207">
        <v>0.26282051282051283</v>
      </c>
      <c r="D207">
        <v>0.23717948717948717</v>
      </c>
      <c r="E207">
        <v>0.19871794871794871</v>
      </c>
      <c r="F207">
        <v>0.17307692307692307</v>
      </c>
      <c r="G207">
        <v>0.12820512820512819</v>
      </c>
    </row>
    <row r="208" spans="1:7" x14ac:dyDescent="0.3">
      <c r="A208" s="5" t="s">
        <v>158</v>
      </c>
      <c r="B208" s="5" t="s">
        <v>38</v>
      </c>
      <c r="C208">
        <v>0.16279069767441862</v>
      </c>
      <c r="D208">
        <v>0.17674418604651163</v>
      </c>
      <c r="E208">
        <v>0.19069767441860466</v>
      </c>
      <c r="F208">
        <v>0.22325581395348837</v>
      </c>
      <c r="G208">
        <v>0.24651162790697675</v>
      </c>
    </row>
    <row r="209" spans="1:7" x14ac:dyDescent="0.3">
      <c r="A209" s="5" t="s">
        <v>158</v>
      </c>
      <c r="B209" s="5" t="s">
        <v>40</v>
      </c>
      <c r="C209">
        <v>0.24240545567265964</v>
      </c>
      <c r="D209">
        <v>0.2231866088034718</v>
      </c>
      <c r="E209">
        <v>0.20396776193428395</v>
      </c>
      <c r="F209">
        <v>0.18040917544947302</v>
      </c>
      <c r="G209">
        <v>0.15003099814011159</v>
      </c>
    </row>
    <row r="210" spans="1:7" x14ac:dyDescent="0.3">
      <c r="A210" s="5" t="s">
        <v>158</v>
      </c>
      <c r="B210" s="5" t="s">
        <v>42</v>
      </c>
      <c r="C210">
        <v>0.14754098360655737</v>
      </c>
      <c r="D210">
        <v>0.18852459016393441</v>
      </c>
      <c r="E210">
        <v>0.20901639344262296</v>
      </c>
      <c r="F210">
        <v>0.20901639344262296</v>
      </c>
      <c r="G210">
        <v>0.24590163934426229</v>
      </c>
    </row>
    <row r="211" spans="1:7" x14ac:dyDescent="0.3">
      <c r="A211" s="5" t="s">
        <v>158</v>
      </c>
      <c r="B211" s="5" t="s">
        <v>44</v>
      </c>
      <c r="C211">
        <v>0.171875</v>
      </c>
      <c r="D211">
        <v>0.21875</v>
      </c>
      <c r="E211">
        <v>0.21875</v>
      </c>
      <c r="F211">
        <v>0.1875</v>
      </c>
      <c r="G211">
        <v>0.203125</v>
      </c>
    </row>
    <row r="212" spans="1:7" x14ac:dyDescent="0.3">
      <c r="A212" s="5" t="s">
        <v>158</v>
      </c>
      <c r="B212" s="5" t="s">
        <v>46</v>
      </c>
      <c r="C212">
        <v>0.12345679012345678</v>
      </c>
      <c r="D212">
        <v>0.15343915343915343</v>
      </c>
      <c r="E212">
        <v>0.20105820105820105</v>
      </c>
      <c r="F212">
        <v>0.23280423280423279</v>
      </c>
      <c r="G212">
        <v>0.28924162257495589</v>
      </c>
    </row>
    <row r="213" spans="1:7" x14ac:dyDescent="0.3">
      <c r="A213" s="5" t="s">
        <v>158</v>
      </c>
      <c r="B213" s="5" t="s">
        <v>48</v>
      </c>
      <c r="C213">
        <v>0.23214285714285715</v>
      </c>
      <c r="D213">
        <v>0.22023809523809523</v>
      </c>
      <c r="E213">
        <v>0.20238095238095238</v>
      </c>
      <c r="F213">
        <v>0.19047619047619047</v>
      </c>
      <c r="G213">
        <v>0.15476190476190477</v>
      </c>
    </row>
    <row r="214" spans="1:7" x14ac:dyDescent="0.3">
      <c r="A214" s="5" t="s">
        <v>158</v>
      </c>
      <c r="B214" s="5" t="s">
        <v>50</v>
      </c>
      <c r="C214">
        <v>0.16417910447761194</v>
      </c>
      <c r="D214">
        <v>0.18656716417910449</v>
      </c>
      <c r="E214">
        <v>0.19402985074626866</v>
      </c>
      <c r="F214">
        <v>0.21641791044776118</v>
      </c>
      <c r="G214">
        <v>0.23880597014925373</v>
      </c>
    </row>
    <row r="215" spans="1:7" x14ac:dyDescent="0.3">
      <c r="A215" s="5" t="s">
        <v>158</v>
      </c>
      <c r="B215" s="5" t="s">
        <v>52</v>
      </c>
      <c r="C215">
        <v>0.35294117647058826</v>
      </c>
      <c r="D215">
        <v>0.13235294117647059</v>
      </c>
      <c r="E215">
        <v>0.13235294117647059</v>
      </c>
      <c r="F215">
        <v>0.16176470588235295</v>
      </c>
      <c r="G215">
        <v>0.22058823529411764</v>
      </c>
    </row>
    <row r="216" spans="1:7" x14ac:dyDescent="0.3">
      <c r="A216" s="5" t="s">
        <v>158</v>
      </c>
      <c r="B216" s="5" t="s">
        <v>54</v>
      </c>
      <c r="C216">
        <v>0.17472118959107807</v>
      </c>
      <c r="D216">
        <v>0.15985130111524162</v>
      </c>
      <c r="E216">
        <v>0.18587360594795538</v>
      </c>
      <c r="F216">
        <v>0.21561338289962825</v>
      </c>
      <c r="G216">
        <v>0.26394052044609667</v>
      </c>
    </row>
    <row r="217" spans="1:7" x14ac:dyDescent="0.3">
      <c r="A217" s="5" t="s">
        <v>158</v>
      </c>
      <c r="B217" s="5" t="s">
        <v>56</v>
      </c>
      <c r="C217">
        <v>0.1957142857142857</v>
      </c>
      <c r="D217">
        <v>0.20428571428571429</v>
      </c>
      <c r="E217">
        <v>0.20142857142857143</v>
      </c>
      <c r="F217">
        <v>0.20428571428571429</v>
      </c>
      <c r="G217">
        <v>0.19428571428571428</v>
      </c>
    </row>
    <row r="218" spans="1:7" x14ac:dyDescent="0.3">
      <c r="A218" s="5" t="s">
        <v>159</v>
      </c>
      <c r="B218" s="5" t="s">
        <v>34</v>
      </c>
      <c r="C218">
        <v>0.2257001647446458</v>
      </c>
      <c r="D218">
        <v>0.2042833607907743</v>
      </c>
      <c r="E218">
        <v>0.19769357495881384</v>
      </c>
      <c r="F218">
        <v>0.19604612850082373</v>
      </c>
      <c r="G218">
        <v>0.17627677100494235</v>
      </c>
    </row>
    <row r="219" spans="1:7" x14ac:dyDescent="0.3">
      <c r="A219" s="5" t="s">
        <v>159</v>
      </c>
      <c r="B219" s="5" t="s">
        <v>36</v>
      </c>
      <c r="C219">
        <v>0.27049180327868855</v>
      </c>
      <c r="D219">
        <v>0.22131147540983606</v>
      </c>
      <c r="E219">
        <v>0.18852459016393441</v>
      </c>
      <c r="F219">
        <v>0.18032786885245902</v>
      </c>
      <c r="G219">
        <v>0.13934426229508196</v>
      </c>
    </row>
    <row r="220" spans="1:7" x14ac:dyDescent="0.3">
      <c r="A220" s="5" t="s">
        <v>159</v>
      </c>
      <c r="B220" s="5" t="s">
        <v>38</v>
      </c>
      <c r="C220">
        <v>0.18143459915611815</v>
      </c>
      <c r="D220">
        <v>0.18143459915611815</v>
      </c>
      <c r="E220">
        <v>0.1940928270042194</v>
      </c>
      <c r="F220">
        <v>0.20675105485232068</v>
      </c>
      <c r="G220">
        <v>0.23628691983122363</v>
      </c>
    </row>
    <row r="221" spans="1:7" x14ac:dyDescent="0.3">
      <c r="A221" s="5" t="s">
        <v>159</v>
      </c>
      <c r="B221" s="5" t="s">
        <v>40</v>
      </c>
      <c r="C221">
        <v>0.23903508771929824</v>
      </c>
      <c r="D221">
        <v>0.21564327485380116</v>
      </c>
      <c r="E221">
        <v>0.19371345029239767</v>
      </c>
      <c r="F221">
        <v>0.18859649122807018</v>
      </c>
      <c r="G221">
        <v>0.16301169590643275</v>
      </c>
    </row>
    <row r="222" spans="1:7" x14ac:dyDescent="0.3">
      <c r="A222" s="5" t="s">
        <v>159</v>
      </c>
      <c r="B222" s="5" t="s">
        <v>42</v>
      </c>
      <c r="C222">
        <v>0.18128654970760233</v>
      </c>
      <c r="D222">
        <v>0.16959064327485379</v>
      </c>
      <c r="E222">
        <v>0.22222222222222221</v>
      </c>
      <c r="F222">
        <v>0.21052631578947367</v>
      </c>
      <c r="G222">
        <v>0.21637426900584794</v>
      </c>
    </row>
    <row r="223" spans="1:7" x14ac:dyDescent="0.3">
      <c r="A223" s="5" t="s">
        <v>159</v>
      </c>
      <c r="B223" s="5" t="s">
        <v>44</v>
      </c>
      <c r="C223">
        <v>0.18947368421052632</v>
      </c>
      <c r="D223">
        <v>0.2</v>
      </c>
      <c r="E223">
        <v>0.2</v>
      </c>
      <c r="F223">
        <v>0.20526315789473684</v>
      </c>
      <c r="G223">
        <v>0.20526315789473684</v>
      </c>
    </row>
    <row r="224" spans="1:7" x14ac:dyDescent="0.3">
      <c r="A224" s="5" t="s">
        <v>159</v>
      </c>
      <c r="B224" s="5" t="s">
        <v>46</v>
      </c>
      <c r="C224">
        <v>0.13412816691505217</v>
      </c>
      <c r="D224">
        <v>0.19970193740685543</v>
      </c>
      <c r="E224">
        <v>0.20864381520119224</v>
      </c>
      <c r="F224">
        <v>0.21907600596125187</v>
      </c>
      <c r="G224">
        <v>0.23845007451564829</v>
      </c>
    </row>
    <row r="225" spans="1:7" x14ac:dyDescent="0.3">
      <c r="A225" s="5" t="s">
        <v>159</v>
      </c>
      <c r="B225" s="5" t="s">
        <v>48</v>
      </c>
      <c r="C225">
        <v>0.22077922077922077</v>
      </c>
      <c r="D225">
        <v>0.20779220779220781</v>
      </c>
      <c r="E225">
        <v>0.20779220779220781</v>
      </c>
      <c r="F225">
        <v>0.19480519480519481</v>
      </c>
      <c r="G225">
        <v>0.16883116883116883</v>
      </c>
    </row>
    <row r="226" spans="1:7" x14ac:dyDescent="0.3">
      <c r="A226" s="5" t="s">
        <v>159</v>
      </c>
      <c r="B226" s="5" t="s">
        <v>50</v>
      </c>
      <c r="C226">
        <v>0.17785843920145192</v>
      </c>
      <c r="D226">
        <v>0.18148820326678766</v>
      </c>
      <c r="E226">
        <v>0.19419237749546278</v>
      </c>
      <c r="F226">
        <v>0.20689655172413793</v>
      </c>
      <c r="G226">
        <v>0.23956442831215971</v>
      </c>
    </row>
    <row r="227" spans="1:7" x14ac:dyDescent="0.3">
      <c r="A227" s="5" t="s">
        <v>159</v>
      </c>
      <c r="B227" s="5" t="s">
        <v>52</v>
      </c>
      <c r="C227">
        <v>0.24528301886792453</v>
      </c>
      <c r="D227">
        <v>0.13207547169811321</v>
      </c>
      <c r="E227">
        <v>0.15094339622641509</v>
      </c>
      <c r="F227">
        <v>0.18867924528301888</v>
      </c>
      <c r="G227">
        <v>0.28301886792452829</v>
      </c>
    </row>
    <row r="228" spans="1:7" x14ac:dyDescent="0.3">
      <c r="A228" s="5" t="s">
        <v>159</v>
      </c>
      <c r="B228" s="5" t="s">
        <v>54</v>
      </c>
      <c r="C228">
        <v>0.1887905604719764</v>
      </c>
      <c r="D228">
        <v>0.20058997050147492</v>
      </c>
      <c r="E228">
        <v>0.20058997050147492</v>
      </c>
      <c r="F228">
        <v>0.19174041297935104</v>
      </c>
      <c r="G228">
        <v>0.21828908554572271</v>
      </c>
    </row>
    <row r="229" spans="1:7" x14ac:dyDescent="0.3">
      <c r="A229" s="5" t="s">
        <v>159</v>
      </c>
      <c r="B229" s="5" t="s">
        <v>56</v>
      </c>
      <c r="C229">
        <v>0.18468468468468469</v>
      </c>
      <c r="D229">
        <v>0.20270270270270271</v>
      </c>
      <c r="E229">
        <v>0.21171171171171171</v>
      </c>
      <c r="F229">
        <v>0.20045045045045046</v>
      </c>
      <c r="G229">
        <v>0.20045045045045046</v>
      </c>
    </row>
    <row r="230" spans="1:7" x14ac:dyDescent="0.3">
      <c r="A230" s="5" t="s">
        <v>160</v>
      </c>
      <c r="B230" s="5" t="s">
        <v>34</v>
      </c>
      <c r="C230">
        <v>0.21624087591240876</v>
      </c>
      <c r="D230">
        <v>0.21532846715328466</v>
      </c>
      <c r="E230">
        <v>0.20894160583941607</v>
      </c>
      <c r="F230">
        <v>0.19708029197080293</v>
      </c>
      <c r="G230">
        <v>0.16240875912408759</v>
      </c>
    </row>
    <row r="231" spans="1:7" x14ac:dyDescent="0.3">
      <c r="A231" s="5" t="s">
        <v>160</v>
      </c>
      <c r="B231" s="5" t="s">
        <v>36</v>
      </c>
      <c r="C231">
        <v>0.19266055045871561</v>
      </c>
      <c r="D231">
        <v>0.20183486238532111</v>
      </c>
      <c r="E231">
        <v>0.21100917431192662</v>
      </c>
      <c r="F231">
        <v>0.20183486238532111</v>
      </c>
      <c r="G231">
        <v>0.19266055045871561</v>
      </c>
    </row>
    <row r="232" spans="1:7" x14ac:dyDescent="0.3">
      <c r="A232" s="5" t="s">
        <v>160</v>
      </c>
      <c r="B232" s="5" t="s">
        <v>38</v>
      </c>
      <c r="C232">
        <v>0.14155251141552511</v>
      </c>
      <c r="D232">
        <v>0.16438356164383561</v>
      </c>
      <c r="E232">
        <v>0.19634703196347031</v>
      </c>
      <c r="F232">
        <v>0.22831050228310501</v>
      </c>
      <c r="G232">
        <v>0.26940639269406391</v>
      </c>
    </row>
    <row r="233" spans="1:7" x14ac:dyDescent="0.3">
      <c r="A233" s="5" t="s">
        <v>160</v>
      </c>
      <c r="B233" s="5" t="s">
        <v>40</v>
      </c>
      <c r="C233">
        <v>0.23608017817371937</v>
      </c>
      <c r="D233">
        <v>0.22327394209354121</v>
      </c>
      <c r="E233">
        <v>0.20044543429844097</v>
      </c>
      <c r="F233">
        <v>0.18262806236080179</v>
      </c>
      <c r="G233">
        <v>0.15757238307349666</v>
      </c>
    </row>
    <row r="234" spans="1:7" x14ac:dyDescent="0.3">
      <c r="A234" s="5" t="s">
        <v>160</v>
      </c>
      <c r="B234" s="5" t="s">
        <v>42</v>
      </c>
      <c r="C234">
        <v>0.16019417475728157</v>
      </c>
      <c r="D234">
        <v>0.16990291262135923</v>
      </c>
      <c r="E234">
        <v>0.19902912621359223</v>
      </c>
      <c r="F234">
        <v>0.21359223300970873</v>
      </c>
      <c r="G234">
        <v>0.25728155339805825</v>
      </c>
    </row>
    <row r="235" spans="1:7" x14ac:dyDescent="0.3">
      <c r="A235" s="5" t="s">
        <v>160</v>
      </c>
      <c r="B235" s="5" t="s">
        <v>44</v>
      </c>
      <c r="C235">
        <v>0.21610169491525424</v>
      </c>
      <c r="D235">
        <v>0.2076271186440678</v>
      </c>
      <c r="E235">
        <v>0.19915254237288135</v>
      </c>
      <c r="F235">
        <v>0.19067796610169491</v>
      </c>
      <c r="G235">
        <v>0.1864406779661017</v>
      </c>
    </row>
    <row r="236" spans="1:7" x14ac:dyDescent="0.3">
      <c r="A236" s="5" t="s">
        <v>160</v>
      </c>
      <c r="B236" s="5" t="s">
        <v>46</v>
      </c>
      <c r="C236">
        <v>0.11918604651162791</v>
      </c>
      <c r="D236">
        <v>0.14825581395348839</v>
      </c>
      <c r="E236">
        <v>0.19767441860465115</v>
      </c>
      <c r="F236">
        <v>0.24127906976744187</v>
      </c>
      <c r="G236">
        <v>0.29360465116279072</v>
      </c>
    </row>
    <row r="237" spans="1:7" x14ac:dyDescent="0.3">
      <c r="A237" s="5" t="s">
        <v>160</v>
      </c>
      <c r="B237" s="5" t="s">
        <v>48</v>
      </c>
      <c r="C237">
        <v>0.17567567567567569</v>
      </c>
      <c r="D237">
        <v>0.2072072072072072</v>
      </c>
      <c r="E237">
        <v>0.21621621621621623</v>
      </c>
      <c r="F237">
        <v>0.21621621621621623</v>
      </c>
      <c r="G237">
        <v>0.18468468468468469</v>
      </c>
    </row>
    <row r="238" spans="1:7" x14ac:dyDescent="0.3">
      <c r="A238" s="5" t="s">
        <v>160</v>
      </c>
      <c r="B238" s="5" t="s">
        <v>50</v>
      </c>
      <c r="C238">
        <v>0.14339622641509434</v>
      </c>
      <c r="D238">
        <v>0.15094339622641509</v>
      </c>
      <c r="E238">
        <v>0.18490566037735848</v>
      </c>
      <c r="F238">
        <v>0.21509433962264152</v>
      </c>
      <c r="G238">
        <v>0.30566037735849055</v>
      </c>
    </row>
    <row r="239" spans="1:7" x14ac:dyDescent="0.3">
      <c r="A239" s="5" t="s">
        <v>160</v>
      </c>
      <c r="B239" s="5" t="s">
        <v>52</v>
      </c>
      <c r="C239">
        <v>8.5714285714285715E-2</v>
      </c>
      <c r="D239">
        <v>8.5714285714285715E-2</v>
      </c>
      <c r="E239">
        <v>0.14285714285714285</v>
      </c>
      <c r="F239">
        <v>0.22857142857142856</v>
      </c>
      <c r="G239">
        <v>0.45714285714285713</v>
      </c>
    </row>
    <row r="240" spans="1:7" x14ac:dyDescent="0.3">
      <c r="A240" s="5" t="s">
        <v>160</v>
      </c>
      <c r="B240" s="5" t="s">
        <v>54</v>
      </c>
      <c r="C240">
        <v>0.22346368715083798</v>
      </c>
      <c r="D240">
        <v>0.18435754189944134</v>
      </c>
      <c r="E240">
        <v>0.17318435754189945</v>
      </c>
      <c r="F240">
        <v>0.1787709497206704</v>
      </c>
      <c r="G240">
        <v>0.24022346368715083</v>
      </c>
    </row>
    <row r="241" spans="1:7" x14ac:dyDescent="0.3">
      <c r="A241" s="5" t="s">
        <v>160</v>
      </c>
      <c r="B241" s="5" t="s">
        <v>56</v>
      </c>
      <c r="C241">
        <v>0.14089347079037801</v>
      </c>
      <c r="D241">
        <v>0.16151202749140894</v>
      </c>
      <c r="E241">
        <v>0.19243986254295534</v>
      </c>
      <c r="F241">
        <v>0.23024054982817868</v>
      </c>
      <c r="G241">
        <v>0.27491408934707906</v>
      </c>
    </row>
    <row r="242" spans="1:7" x14ac:dyDescent="0.3">
      <c r="A242" s="5" t="s">
        <v>161</v>
      </c>
      <c r="B242" s="5" t="s">
        <v>34</v>
      </c>
      <c r="C242">
        <v>0.23859191655801826</v>
      </c>
      <c r="D242">
        <v>0.21903520208604954</v>
      </c>
      <c r="E242">
        <v>0.20338983050847459</v>
      </c>
      <c r="F242">
        <v>0.18774445893089961</v>
      </c>
      <c r="G242">
        <v>0.15123859191655803</v>
      </c>
    </row>
    <row r="243" spans="1:7" x14ac:dyDescent="0.3">
      <c r="A243" s="5" t="s">
        <v>161</v>
      </c>
      <c r="B243" s="5" t="s">
        <v>36</v>
      </c>
      <c r="C243">
        <v>0.23809523809523808</v>
      </c>
      <c r="D243">
        <v>0.23809523809523808</v>
      </c>
      <c r="E243">
        <v>0.20238095238095238</v>
      </c>
      <c r="F243">
        <v>0.17857142857142858</v>
      </c>
      <c r="G243">
        <v>0.14285714285714285</v>
      </c>
    </row>
    <row r="244" spans="1:7" x14ac:dyDescent="0.3">
      <c r="A244" s="5" t="s">
        <v>161</v>
      </c>
      <c r="B244" s="5" t="s">
        <v>38</v>
      </c>
      <c r="C244">
        <v>0.12738853503184713</v>
      </c>
      <c r="D244">
        <v>0.17197452229299362</v>
      </c>
      <c r="E244">
        <v>0.19745222929936307</v>
      </c>
      <c r="F244">
        <v>0.22929936305732485</v>
      </c>
      <c r="G244">
        <v>0.27388535031847133</v>
      </c>
    </row>
    <row r="245" spans="1:7" x14ac:dyDescent="0.3">
      <c r="A245" s="5" t="s">
        <v>161</v>
      </c>
      <c r="B245" s="5" t="s">
        <v>40</v>
      </c>
      <c r="C245">
        <v>0.23273809523809524</v>
      </c>
      <c r="D245">
        <v>0.21547619047619049</v>
      </c>
      <c r="E245">
        <v>0.19761904761904761</v>
      </c>
      <c r="F245">
        <v>0.18630952380952381</v>
      </c>
      <c r="G245">
        <v>0.16785714285714284</v>
      </c>
    </row>
    <row r="246" spans="1:7" x14ac:dyDescent="0.3">
      <c r="A246" s="5" t="s">
        <v>161</v>
      </c>
      <c r="B246" s="5" t="s">
        <v>42</v>
      </c>
      <c r="C246">
        <v>0.17934782608695651</v>
      </c>
      <c r="D246">
        <v>0.17391304347826086</v>
      </c>
      <c r="E246">
        <v>0.17934782608695651</v>
      </c>
      <c r="F246">
        <v>0.19565217391304349</v>
      </c>
      <c r="G246">
        <v>0.27173913043478259</v>
      </c>
    </row>
    <row r="247" spans="1:7" x14ac:dyDescent="0.3">
      <c r="A247" s="5" t="s">
        <v>161</v>
      </c>
      <c r="B247" s="5" t="s">
        <v>44</v>
      </c>
      <c r="C247">
        <v>0.26013513513513514</v>
      </c>
      <c r="D247">
        <v>0.21283783783783783</v>
      </c>
      <c r="E247">
        <v>0.1858108108108108</v>
      </c>
      <c r="F247">
        <v>0.18243243243243243</v>
      </c>
      <c r="G247">
        <v>0.15878378378378377</v>
      </c>
    </row>
    <row r="248" spans="1:7" x14ac:dyDescent="0.3">
      <c r="A248" s="5" t="s">
        <v>161</v>
      </c>
      <c r="B248" s="5" t="s">
        <v>46</v>
      </c>
      <c r="C248">
        <v>0.12903225806451613</v>
      </c>
      <c r="D248">
        <v>0.18125960061443933</v>
      </c>
      <c r="E248">
        <v>0.21812596006144394</v>
      </c>
      <c r="F248">
        <v>0.22734254992319508</v>
      </c>
      <c r="G248">
        <v>0.24423963133640553</v>
      </c>
    </row>
    <row r="249" spans="1:7" x14ac:dyDescent="0.3">
      <c r="A249" s="5" t="s">
        <v>161</v>
      </c>
      <c r="B249" s="5" t="s">
        <v>48</v>
      </c>
      <c r="C249">
        <v>0.21637426900584794</v>
      </c>
      <c r="D249">
        <v>0.21637426900584794</v>
      </c>
      <c r="E249">
        <v>0.21637426900584794</v>
      </c>
      <c r="F249">
        <v>0.19298245614035087</v>
      </c>
      <c r="G249">
        <v>0.15789473684210525</v>
      </c>
    </row>
    <row r="250" spans="1:7" x14ac:dyDescent="0.3">
      <c r="A250" s="5" t="s">
        <v>161</v>
      </c>
      <c r="B250" s="5" t="s">
        <v>50</v>
      </c>
      <c r="C250">
        <v>0.14054054054054055</v>
      </c>
      <c r="D250">
        <v>0.15675675675675677</v>
      </c>
      <c r="E250">
        <v>0.19459459459459461</v>
      </c>
      <c r="F250">
        <v>0.22162162162162163</v>
      </c>
      <c r="G250">
        <v>0.2864864864864865</v>
      </c>
    </row>
    <row r="251" spans="1:7" x14ac:dyDescent="0.3">
      <c r="A251" s="5" t="s">
        <v>161</v>
      </c>
      <c r="B251" s="5" t="s">
        <v>52</v>
      </c>
      <c r="C251">
        <v>6.741573033707865E-2</v>
      </c>
      <c r="D251">
        <v>0.12359550561797752</v>
      </c>
      <c r="E251">
        <v>0.1797752808988764</v>
      </c>
      <c r="F251">
        <v>0.24719101123595505</v>
      </c>
      <c r="G251">
        <v>0.38202247191011235</v>
      </c>
    </row>
    <row r="252" spans="1:7" x14ac:dyDescent="0.3">
      <c r="A252" s="5" t="s">
        <v>161</v>
      </c>
      <c r="B252" s="5" t="s">
        <v>54</v>
      </c>
      <c r="C252">
        <v>0.15233415233415235</v>
      </c>
      <c r="D252">
        <v>0.18427518427518427</v>
      </c>
      <c r="E252">
        <v>0.19164619164619165</v>
      </c>
      <c r="F252">
        <v>0.21375921375921375</v>
      </c>
      <c r="G252">
        <v>0.25798525798525801</v>
      </c>
    </row>
    <row r="253" spans="1:7" x14ac:dyDescent="0.3">
      <c r="A253" s="5" t="s">
        <v>161</v>
      </c>
      <c r="B253" s="5" t="s">
        <v>56</v>
      </c>
      <c r="C253">
        <v>0.19148936170212766</v>
      </c>
      <c r="D253">
        <v>0.17933130699088146</v>
      </c>
      <c r="E253">
        <v>0.20060790273556231</v>
      </c>
      <c r="F253">
        <v>0.21276595744680851</v>
      </c>
      <c r="G253">
        <v>0.21580547112462006</v>
      </c>
    </row>
    <row r="254" spans="1:7" x14ac:dyDescent="0.3">
      <c r="A254" s="5" t="s">
        <v>162</v>
      </c>
      <c r="B254" s="5" t="s">
        <v>34</v>
      </c>
      <c r="C254">
        <v>0.2417031934877896</v>
      </c>
      <c r="D254">
        <v>0.21352536005009393</v>
      </c>
      <c r="E254">
        <v>0.19912335629304947</v>
      </c>
      <c r="F254">
        <v>0.1828428303068253</v>
      </c>
      <c r="G254">
        <v>0.1628052598622417</v>
      </c>
    </row>
    <row r="255" spans="1:7" x14ac:dyDescent="0.3">
      <c r="A255" s="5" t="s">
        <v>162</v>
      </c>
      <c r="B255" s="5" t="s">
        <v>36</v>
      </c>
      <c r="C255">
        <v>0.15699658703071673</v>
      </c>
      <c r="D255">
        <v>0.18430034129692832</v>
      </c>
      <c r="E255">
        <v>0.21160409556313994</v>
      </c>
      <c r="F255">
        <v>0.22184300341296928</v>
      </c>
      <c r="G255">
        <v>0.22525597269624573</v>
      </c>
    </row>
    <row r="256" spans="1:7" x14ac:dyDescent="0.3">
      <c r="A256" s="5" t="s">
        <v>162</v>
      </c>
      <c r="B256" s="5" t="s">
        <v>38</v>
      </c>
      <c r="C256">
        <v>0.12121212121212122</v>
      </c>
      <c r="D256">
        <v>0.15151515151515152</v>
      </c>
      <c r="E256">
        <v>0.19191919191919191</v>
      </c>
      <c r="F256">
        <v>0.23737373737373738</v>
      </c>
      <c r="G256">
        <v>0.29797979797979796</v>
      </c>
    </row>
    <row r="257" spans="1:7" x14ac:dyDescent="0.3">
      <c r="A257" s="5" t="s">
        <v>162</v>
      </c>
      <c r="B257" s="5" t="s">
        <v>40</v>
      </c>
      <c r="C257">
        <v>0.2086765513454146</v>
      </c>
      <c r="D257">
        <v>0.21581548599670511</v>
      </c>
      <c r="E257">
        <v>0.20483250961010435</v>
      </c>
      <c r="F257">
        <v>0.19659527732015375</v>
      </c>
      <c r="G257">
        <v>0.17408017572762219</v>
      </c>
    </row>
    <row r="258" spans="1:7" x14ac:dyDescent="0.3">
      <c r="A258" s="5" t="s">
        <v>162</v>
      </c>
      <c r="B258" s="5" t="s">
        <v>42</v>
      </c>
      <c r="C258">
        <v>0.16129032258064516</v>
      </c>
      <c r="D258">
        <v>0.18064516129032257</v>
      </c>
      <c r="E258">
        <v>0.20645161290322581</v>
      </c>
      <c r="F258">
        <v>0.20645161290322581</v>
      </c>
      <c r="G258">
        <v>0.24516129032258063</v>
      </c>
    </row>
    <row r="259" spans="1:7" x14ac:dyDescent="0.3">
      <c r="A259" s="5" t="s">
        <v>162</v>
      </c>
      <c r="B259" s="5" t="s">
        <v>44</v>
      </c>
      <c r="C259">
        <v>0.22727272727272727</v>
      </c>
      <c r="D259">
        <v>0.20707070707070707</v>
      </c>
      <c r="E259">
        <v>0.20202020202020202</v>
      </c>
      <c r="F259">
        <v>0.17676767676767677</v>
      </c>
      <c r="G259">
        <v>0.18686868686868688</v>
      </c>
    </row>
    <row r="260" spans="1:7" x14ac:dyDescent="0.3">
      <c r="A260" s="5" t="s">
        <v>162</v>
      </c>
      <c r="B260" s="5" t="s">
        <v>46</v>
      </c>
      <c r="C260">
        <v>6.9306930693069313E-2</v>
      </c>
      <c r="D260">
        <v>0.11881188118811881</v>
      </c>
      <c r="E260">
        <v>0.18316831683168316</v>
      </c>
      <c r="F260">
        <v>0.27722772277227725</v>
      </c>
      <c r="G260">
        <v>0.35148514851485146</v>
      </c>
    </row>
    <row r="261" spans="1:7" x14ac:dyDescent="0.3">
      <c r="A261" s="5" t="s">
        <v>162</v>
      </c>
      <c r="B261" s="5" t="s">
        <v>48</v>
      </c>
      <c r="C261">
        <v>0.16753926701570682</v>
      </c>
      <c r="D261">
        <v>0.18324607329842932</v>
      </c>
      <c r="E261">
        <v>0.20942408376963351</v>
      </c>
      <c r="F261">
        <v>0.21989528795811519</v>
      </c>
      <c r="G261">
        <v>0.21989528795811519</v>
      </c>
    </row>
    <row r="262" spans="1:7" x14ac:dyDescent="0.3">
      <c r="A262" s="5" t="s">
        <v>162</v>
      </c>
      <c r="B262" s="5" t="s">
        <v>50</v>
      </c>
      <c r="C262">
        <v>0.18309859154929578</v>
      </c>
      <c r="D262">
        <v>0.1619718309859155</v>
      </c>
      <c r="E262">
        <v>0.1619718309859155</v>
      </c>
      <c r="F262">
        <v>0.19014084507042253</v>
      </c>
      <c r="G262">
        <v>0.30281690140845069</v>
      </c>
    </row>
    <row r="263" spans="1:7" x14ac:dyDescent="0.3">
      <c r="A263" s="5" t="s">
        <v>162</v>
      </c>
      <c r="B263" s="5" t="s">
        <v>52</v>
      </c>
      <c r="C263">
        <v>7.6923076923076927E-2</v>
      </c>
      <c r="D263">
        <v>7.6923076923076927E-2</v>
      </c>
      <c r="E263">
        <v>0.15384615384615385</v>
      </c>
      <c r="F263">
        <v>0.23076923076923078</v>
      </c>
      <c r="G263">
        <v>0.46153846153846156</v>
      </c>
    </row>
    <row r="264" spans="1:7" x14ac:dyDescent="0.3">
      <c r="A264" s="5" t="s">
        <v>162</v>
      </c>
      <c r="B264" s="5" t="s">
        <v>54</v>
      </c>
      <c r="C264">
        <v>8.8888888888888892E-2</v>
      </c>
      <c r="D264">
        <v>0.13333333333333333</v>
      </c>
      <c r="E264">
        <v>0.15555555555555556</v>
      </c>
      <c r="F264">
        <v>0.22222222222222221</v>
      </c>
      <c r="G264">
        <v>0.4</v>
      </c>
    </row>
    <row r="265" spans="1:7" x14ac:dyDescent="0.3">
      <c r="A265" s="5" t="s">
        <v>162</v>
      </c>
      <c r="B265" s="5" t="s">
        <v>56</v>
      </c>
      <c r="C265">
        <v>0.11888111888111888</v>
      </c>
      <c r="D265">
        <v>0.16783216783216784</v>
      </c>
      <c r="E265">
        <v>0.19580419580419581</v>
      </c>
      <c r="F265">
        <v>0.22377622377622378</v>
      </c>
      <c r="G265">
        <v>0.2937062937062937</v>
      </c>
    </row>
    <row r="266" spans="1:7" x14ac:dyDescent="0.3">
      <c r="A266" s="5" t="s">
        <v>163</v>
      </c>
      <c r="B266" s="5" t="s">
        <v>34</v>
      </c>
      <c r="C266">
        <v>0.23443708609271524</v>
      </c>
      <c r="D266">
        <v>0.21721854304635763</v>
      </c>
      <c r="E266">
        <v>0.19205298013245034</v>
      </c>
      <c r="F266">
        <v>0.19470198675496689</v>
      </c>
      <c r="G266">
        <v>0.16158940397350993</v>
      </c>
    </row>
    <row r="267" spans="1:7" x14ac:dyDescent="0.3">
      <c r="A267" s="5" t="s">
        <v>163</v>
      </c>
      <c r="B267" s="5" t="s">
        <v>36</v>
      </c>
      <c r="C267">
        <v>0.23469387755102042</v>
      </c>
      <c r="D267">
        <v>0.23469387755102042</v>
      </c>
      <c r="E267">
        <v>0.19387755102040816</v>
      </c>
      <c r="F267">
        <v>0.19387755102040816</v>
      </c>
      <c r="G267">
        <v>0.14285714285714285</v>
      </c>
    </row>
    <row r="268" spans="1:7" x14ac:dyDescent="0.3">
      <c r="A268" s="5" t="s">
        <v>163</v>
      </c>
      <c r="B268" s="5" t="s">
        <v>38</v>
      </c>
      <c r="C268">
        <v>0.13358778625954199</v>
      </c>
      <c r="D268">
        <v>0.17938931297709923</v>
      </c>
      <c r="E268">
        <v>0.19465648854961831</v>
      </c>
      <c r="F268">
        <v>0.22137404580152673</v>
      </c>
      <c r="G268">
        <v>0.27099236641221375</v>
      </c>
    </row>
    <row r="269" spans="1:7" x14ac:dyDescent="0.3">
      <c r="A269" s="5" t="s">
        <v>163</v>
      </c>
      <c r="B269" s="5" t="s">
        <v>40</v>
      </c>
      <c r="C269">
        <v>0.27355198883461268</v>
      </c>
      <c r="D269">
        <v>0.22400558269364967</v>
      </c>
      <c r="E269">
        <v>0.19469644103279832</v>
      </c>
      <c r="F269">
        <v>0.16468946266573622</v>
      </c>
      <c r="G269">
        <v>0.14305652477320308</v>
      </c>
    </row>
    <row r="270" spans="1:7" x14ac:dyDescent="0.3">
      <c r="A270" s="5" t="s">
        <v>163</v>
      </c>
      <c r="B270" s="5" t="s">
        <v>42</v>
      </c>
      <c r="C270">
        <v>0.15048543689320387</v>
      </c>
      <c r="D270">
        <v>0.22330097087378642</v>
      </c>
      <c r="E270">
        <v>0.20873786407766989</v>
      </c>
      <c r="F270">
        <v>0.21844660194174756</v>
      </c>
      <c r="G270">
        <v>0.19902912621359223</v>
      </c>
    </row>
    <row r="271" spans="1:7" x14ac:dyDescent="0.3">
      <c r="A271" s="5" t="s">
        <v>163</v>
      </c>
      <c r="B271" s="5" t="s">
        <v>44</v>
      </c>
      <c r="C271">
        <v>0.19626168224299065</v>
      </c>
      <c r="D271">
        <v>0.19626168224299065</v>
      </c>
      <c r="E271">
        <v>0.23364485981308411</v>
      </c>
      <c r="F271">
        <v>0.16822429906542055</v>
      </c>
      <c r="G271">
        <v>0.20560747663551401</v>
      </c>
    </row>
    <row r="272" spans="1:7" x14ac:dyDescent="0.3">
      <c r="A272" s="5" t="s">
        <v>163</v>
      </c>
      <c r="B272" s="5" t="s">
        <v>46</v>
      </c>
      <c r="C272">
        <v>0.12655086848635236</v>
      </c>
      <c r="D272">
        <v>0.16004962779156329</v>
      </c>
      <c r="E272">
        <v>0.21091811414392059</v>
      </c>
      <c r="F272">
        <v>0.23449131513647642</v>
      </c>
      <c r="G272">
        <v>0.26799007444168732</v>
      </c>
    </row>
    <row r="273" spans="1:7" x14ac:dyDescent="0.3">
      <c r="A273" s="5" t="s">
        <v>163</v>
      </c>
      <c r="B273" s="5" t="s">
        <v>48</v>
      </c>
      <c r="C273">
        <v>0.21138211382113822</v>
      </c>
      <c r="D273">
        <v>0.2073170731707317</v>
      </c>
      <c r="E273">
        <v>0.2032520325203252</v>
      </c>
      <c r="F273">
        <v>0.1991869918699187</v>
      </c>
      <c r="G273">
        <v>0.17886178861788618</v>
      </c>
    </row>
    <row r="274" spans="1:7" x14ac:dyDescent="0.3">
      <c r="A274" s="5" t="s">
        <v>163</v>
      </c>
      <c r="B274" s="5" t="s">
        <v>50</v>
      </c>
      <c r="C274">
        <v>0.17201166180758018</v>
      </c>
      <c r="D274">
        <v>0.17784256559766765</v>
      </c>
      <c r="E274">
        <v>0.20116618075801748</v>
      </c>
      <c r="F274">
        <v>0.21282798833819241</v>
      </c>
      <c r="G274">
        <v>0.23615160349854228</v>
      </c>
    </row>
    <row r="275" spans="1:7" x14ac:dyDescent="0.3">
      <c r="A275" s="5" t="s">
        <v>163</v>
      </c>
      <c r="B275" s="5" t="s">
        <v>52</v>
      </c>
      <c r="C275">
        <v>5.4054054054054057E-2</v>
      </c>
      <c r="D275">
        <v>0.13513513513513514</v>
      </c>
      <c r="E275">
        <v>0.1891891891891892</v>
      </c>
      <c r="F275">
        <v>0.32432432432432434</v>
      </c>
      <c r="G275">
        <v>0.29729729729729731</v>
      </c>
    </row>
    <row r="276" spans="1:7" x14ac:dyDescent="0.3">
      <c r="A276" s="5" t="s">
        <v>163</v>
      </c>
      <c r="B276" s="5" t="s">
        <v>54</v>
      </c>
      <c r="C276">
        <v>0.10747663551401869</v>
      </c>
      <c r="D276">
        <v>0.14953271028037382</v>
      </c>
      <c r="E276">
        <v>0.18691588785046728</v>
      </c>
      <c r="F276">
        <v>0.24766355140186916</v>
      </c>
      <c r="G276">
        <v>0.30841121495327101</v>
      </c>
    </row>
    <row r="277" spans="1:7" x14ac:dyDescent="0.3">
      <c r="A277" s="5" t="s">
        <v>163</v>
      </c>
      <c r="B277" s="5" t="s">
        <v>56</v>
      </c>
      <c r="C277">
        <v>0.16700610997963339</v>
      </c>
      <c r="D277">
        <v>0.20570264765784113</v>
      </c>
      <c r="E277">
        <v>0.20570264765784113</v>
      </c>
      <c r="F277">
        <v>0.20773930753564154</v>
      </c>
      <c r="G277">
        <v>0.21384928716904278</v>
      </c>
    </row>
    <row r="278" spans="1:7" x14ac:dyDescent="0.3">
      <c r="A278" s="5" t="s">
        <v>164</v>
      </c>
      <c r="B278" s="5" t="s">
        <v>34</v>
      </c>
      <c r="C278">
        <v>0.22430830039525693</v>
      </c>
      <c r="D278">
        <v>0.22134387351778656</v>
      </c>
      <c r="E278">
        <v>0.2025691699604743</v>
      </c>
      <c r="F278">
        <v>0.18972332015810275</v>
      </c>
      <c r="G278">
        <v>0.16205533596837945</v>
      </c>
    </row>
    <row r="279" spans="1:7" x14ac:dyDescent="0.3">
      <c r="A279" s="5" t="s">
        <v>164</v>
      </c>
      <c r="B279" s="5" t="s">
        <v>36</v>
      </c>
      <c r="C279">
        <v>0.20588235294117646</v>
      </c>
      <c r="D279">
        <v>0.20588235294117646</v>
      </c>
      <c r="E279">
        <v>0.19117647058823528</v>
      </c>
      <c r="F279">
        <v>0.19852941176470587</v>
      </c>
      <c r="G279">
        <v>0.19852941176470587</v>
      </c>
    </row>
    <row r="280" spans="1:7" x14ac:dyDescent="0.3">
      <c r="A280" s="5" t="s">
        <v>164</v>
      </c>
      <c r="B280" s="5" t="s">
        <v>38</v>
      </c>
      <c r="C280">
        <v>0.12962962962962962</v>
      </c>
      <c r="D280">
        <v>0.16666666666666666</v>
      </c>
      <c r="E280">
        <v>0.18981481481481483</v>
      </c>
      <c r="F280">
        <v>0.23148148148148148</v>
      </c>
      <c r="G280">
        <v>0.28240740740740738</v>
      </c>
    </row>
    <row r="281" spans="1:7" x14ac:dyDescent="0.3">
      <c r="A281" s="5" t="s">
        <v>164</v>
      </c>
      <c r="B281" s="5" t="s">
        <v>40</v>
      </c>
      <c r="C281">
        <v>0.2561340514661879</v>
      </c>
      <c r="D281">
        <v>0.21903052064631956</v>
      </c>
      <c r="E281">
        <v>0.18850987432675045</v>
      </c>
      <c r="F281">
        <v>0.17594254937163376</v>
      </c>
      <c r="G281">
        <v>0.16038300418910831</v>
      </c>
    </row>
    <row r="282" spans="1:7" x14ac:dyDescent="0.3">
      <c r="A282" s="5" t="s">
        <v>164</v>
      </c>
      <c r="B282" s="5" t="s">
        <v>42</v>
      </c>
      <c r="C282">
        <v>0.17316017316017315</v>
      </c>
      <c r="D282">
        <v>0.20346320346320346</v>
      </c>
      <c r="E282">
        <v>0.20779220779220781</v>
      </c>
      <c r="F282">
        <v>0.20346320346320346</v>
      </c>
      <c r="G282">
        <v>0.21212121212121213</v>
      </c>
    </row>
    <row r="283" spans="1:7" x14ac:dyDescent="0.3">
      <c r="A283" s="5" t="s">
        <v>164</v>
      </c>
      <c r="B283" s="5" t="s">
        <v>44</v>
      </c>
      <c r="C283">
        <v>0.25850340136054423</v>
      </c>
      <c r="D283">
        <v>0.24489795918367346</v>
      </c>
      <c r="E283">
        <v>0.19047619047619047</v>
      </c>
      <c r="F283">
        <v>0.14965986394557823</v>
      </c>
      <c r="G283">
        <v>0.15646258503401361</v>
      </c>
    </row>
    <row r="284" spans="1:7" x14ac:dyDescent="0.3">
      <c r="A284" s="5" t="s">
        <v>164</v>
      </c>
      <c r="B284" s="5" t="s">
        <v>46</v>
      </c>
      <c r="C284">
        <v>9.2975206611570244E-2</v>
      </c>
      <c r="D284">
        <v>0.15289256198347106</v>
      </c>
      <c r="E284">
        <v>0.21900826446280991</v>
      </c>
      <c r="F284">
        <v>0.23966942148760331</v>
      </c>
      <c r="G284">
        <v>0.29545454545454547</v>
      </c>
    </row>
    <row r="285" spans="1:7" x14ac:dyDescent="0.3">
      <c r="A285" s="5" t="s">
        <v>164</v>
      </c>
      <c r="B285" s="5" t="s">
        <v>48</v>
      </c>
      <c r="C285">
        <v>0.19166666666666668</v>
      </c>
      <c r="D285">
        <v>0.2</v>
      </c>
      <c r="E285">
        <v>0.20416666666666666</v>
      </c>
      <c r="F285">
        <v>0.20833333333333334</v>
      </c>
      <c r="G285">
        <v>0.19583333333333333</v>
      </c>
    </row>
    <row r="286" spans="1:7" x14ac:dyDescent="0.3">
      <c r="A286" s="5" t="s">
        <v>164</v>
      </c>
      <c r="B286" s="5" t="s">
        <v>50</v>
      </c>
      <c r="C286">
        <v>0.15034965034965034</v>
      </c>
      <c r="D286">
        <v>0.18181818181818182</v>
      </c>
      <c r="E286">
        <v>0.21328671328671328</v>
      </c>
      <c r="F286">
        <v>0.22027972027972029</v>
      </c>
      <c r="G286">
        <v>0.23426573426573427</v>
      </c>
    </row>
    <row r="287" spans="1:7" x14ac:dyDescent="0.3">
      <c r="A287" s="5" t="s">
        <v>164</v>
      </c>
      <c r="B287" s="5" t="s">
        <v>52</v>
      </c>
      <c r="C287">
        <v>6.8965517241379309E-2</v>
      </c>
      <c r="D287">
        <v>0.13793103448275862</v>
      </c>
      <c r="E287">
        <v>0.17241379310344829</v>
      </c>
      <c r="F287">
        <v>0.27586206896551724</v>
      </c>
      <c r="G287">
        <v>0.34482758620689657</v>
      </c>
    </row>
    <row r="288" spans="1:7" x14ac:dyDescent="0.3">
      <c r="A288" s="5" t="s">
        <v>164</v>
      </c>
      <c r="B288" s="5" t="s">
        <v>54</v>
      </c>
      <c r="C288">
        <v>0.15596330275229359</v>
      </c>
      <c r="D288">
        <v>0.16055045871559634</v>
      </c>
      <c r="E288">
        <v>0.21559633027522937</v>
      </c>
      <c r="F288">
        <v>0.23394495412844038</v>
      </c>
      <c r="G288">
        <v>0.23394495412844038</v>
      </c>
    </row>
    <row r="289" spans="1:7" x14ac:dyDescent="0.3">
      <c r="A289" s="5" t="s">
        <v>164</v>
      </c>
      <c r="B289" s="5" t="s">
        <v>56</v>
      </c>
      <c r="C289">
        <v>0.12424242424242424</v>
      </c>
      <c r="D289">
        <v>0.15757575757575756</v>
      </c>
      <c r="E289">
        <v>0.20606060606060606</v>
      </c>
      <c r="F289">
        <v>0.23939393939393938</v>
      </c>
      <c r="G289">
        <v>0.27272727272727271</v>
      </c>
    </row>
    <row r="290" spans="1:7" x14ac:dyDescent="0.3">
      <c r="A290" s="5" t="s">
        <v>165</v>
      </c>
      <c r="B290" s="5" t="s">
        <v>34</v>
      </c>
      <c r="C290">
        <v>0.20915032679738563</v>
      </c>
      <c r="D290">
        <v>0.19934640522875818</v>
      </c>
      <c r="E290">
        <v>0.2107843137254902</v>
      </c>
      <c r="F290">
        <v>0.20098039215686275</v>
      </c>
      <c r="G290">
        <v>0.17973856209150327</v>
      </c>
    </row>
    <row r="291" spans="1:7" x14ac:dyDescent="0.3">
      <c r="A291" s="5" t="s">
        <v>165</v>
      </c>
      <c r="B291" s="5" t="s">
        <v>36</v>
      </c>
      <c r="C291">
        <v>0.33858267716535434</v>
      </c>
      <c r="D291">
        <v>0.22047244094488189</v>
      </c>
      <c r="E291">
        <v>0.15748031496062992</v>
      </c>
      <c r="F291">
        <v>0.16535433070866143</v>
      </c>
      <c r="G291">
        <v>0.11811023622047244</v>
      </c>
    </row>
    <row r="292" spans="1:7" x14ac:dyDescent="0.3">
      <c r="A292" s="5" t="s">
        <v>165</v>
      </c>
      <c r="B292" s="5" t="s">
        <v>38</v>
      </c>
      <c r="C292">
        <v>0.20422535211267606</v>
      </c>
      <c r="D292">
        <v>0.16901408450704225</v>
      </c>
      <c r="E292">
        <v>0.16901408450704225</v>
      </c>
      <c r="F292">
        <v>0.21126760563380281</v>
      </c>
      <c r="G292">
        <v>0.24647887323943662</v>
      </c>
    </row>
    <row r="293" spans="1:7" x14ac:dyDescent="0.3">
      <c r="A293" s="5" t="s">
        <v>165</v>
      </c>
      <c r="B293" s="5" t="s">
        <v>40</v>
      </c>
      <c r="C293">
        <v>0.23343283582089552</v>
      </c>
      <c r="D293">
        <v>0.22029850746268656</v>
      </c>
      <c r="E293">
        <v>0.20298507462686566</v>
      </c>
      <c r="F293">
        <v>0.18208955223880596</v>
      </c>
      <c r="G293">
        <v>0.16119402985074627</v>
      </c>
    </row>
    <row r="294" spans="1:7" x14ac:dyDescent="0.3">
      <c r="A294" s="5" t="s">
        <v>165</v>
      </c>
      <c r="B294" s="5" t="s">
        <v>42</v>
      </c>
      <c r="C294">
        <v>0.15686274509803921</v>
      </c>
      <c r="D294">
        <v>0.17647058823529413</v>
      </c>
      <c r="E294">
        <v>0.20588235294117646</v>
      </c>
      <c r="F294">
        <v>0.22058823529411764</v>
      </c>
      <c r="G294">
        <v>0.24019607843137256</v>
      </c>
    </row>
    <row r="295" spans="1:7" x14ac:dyDescent="0.3">
      <c r="A295" s="5" t="s">
        <v>165</v>
      </c>
      <c r="B295" s="5" t="s">
        <v>44</v>
      </c>
      <c r="C295">
        <v>0.23936170212765959</v>
      </c>
      <c r="D295">
        <v>0.22872340425531915</v>
      </c>
      <c r="E295">
        <v>0.21276595744680851</v>
      </c>
      <c r="F295">
        <v>0.17553191489361702</v>
      </c>
      <c r="G295">
        <v>0.14361702127659576</v>
      </c>
    </row>
    <row r="296" spans="1:7" x14ac:dyDescent="0.3">
      <c r="A296" s="5" t="s">
        <v>165</v>
      </c>
      <c r="B296" s="5" t="s">
        <v>46</v>
      </c>
      <c r="C296">
        <v>0.14086471408647142</v>
      </c>
      <c r="D296">
        <v>0.18549511854951187</v>
      </c>
      <c r="E296">
        <v>0.20223152022315202</v>
      </c>
      <c r="F296">
        <v>0.21617852161785217</v>
      </c>
      <c r="G296">
        <v>0.25523012552301255</v>
      </c>
    </row>
    <row r="297" spans="1:7" x14ac:dyDescent="0.3">
      <c r="A297" s="5" t="s">
        <v>165</v>
      </c>
      <c r="B297" s="5" t="s">
        <v>48</v>
      </c>
      <c r="C297">
        <v>0.22962962962962963</v>
      </c>
      <c r="D297">
        <v>0.2074074074074074</v>
      </c>
      <c r="E297">
        <v>0.2074074074074074</v>
      </c>
      <c r="F297">
        <v>0.19259259259259259</v>
      </c>
      <c r="G297">
        <v>0.16296296296296298</v>
      </c>
    </row>
    <row r="298" spans="1:7" x14ac:dyDescent="0.3">
      <c r="A298" s="5" t="s">
        <v>165</v>
      </c>
      <c r="B298" s="5" t="s">
        <v>50</v>
      </c>
      <c r="C298">
        <v>0.18735891647855529</v>
      </c>
      <c r="D298">
        <v>0.18284424379232506</v>
      </c>
      <c r="E298">
        <v>0.19413092550790068</v>
      </c>
      <c r="F298">
        <v>0.20993227990970656</v>
      </c>
      <c r="G298">
        <v>0.22573363431151242</v>
      </c>
    </row>
    <row r="299" spans="1:7" x14ac:dyDescent="0.3">
      <c r="A299" s="5" t="s">
        <v>165</v>
      </c>
      <c r="B299" s="5" t="s">
        <v>52</v>
      </c>
      <c r="C299">
        <v>0.33333333333333331</v>
      </c>
      <c r="D299">
        <v>0.16666666666666666</v>
      </c>
      <c r="E299">
        <v>0.16666666666666666</v>
      </c>
      <c r="F299">
        <v>0.16666666666666666</v>
      </c>
      <c r="G299">
        <v>0.16666666666666666</v>
      </c>
    </row>
    <row r="300" spans="1:7" x14ac:dyDescent="0.3">
      <c r="A300" s="5" t="s">
        <v>165</v>
      </c>
      <c r="B300" s="5" t="s">
        <v>54</v>
      </c>
      <c r="C300">
        <v>0.16883116883116883</v>
      </c>
      <c r="D300">
        <v>0.18614718614718614</v>
      </c>
      <c r="E300">
        <v>0.18614718614718614</v>
      </c>
      <c r="F300">
        <v>0.19913419913419914</v>
      </c>
      <c r="G300">
        <v>0.25974025974025972</v>
      </c>
    </row>
    <row r="301" spans="1:7" x14ac:dyDescent="0.3">
      <c r="A301" s="5" t="s">
        <v>165</v>
      </c>
      <c r="B301" s="5" t="s">
        <v>56</v>
      </c>
      <c r="C301">
        <v>0.14285714285714285</v>
      </c>
      <c r="D301">
        <v>0.17567567567567569</v>
      </c>
      <c r="E301">
        <v>0.19691119691119691</v>
      </c>
      <c r="F301">
        <v>0.23552123552123552</v>
      </c>
      <c r="G301">
        <v>0.24903474903474904</v>
      </c>
    </row>
    <row r="302" spans="1:7" x14ac:dyDescent="0.3">
      <c r="A302" s="5" t="s">
        <v>166</v>
      </c>
      <c r="B302" s="5" t="s">
        <v>34</v>
      </c>
      <c r="C302">
        <v>0.20608108108108109</v>
      </c>
      <c r="D302">
        <v>0.20101351351351351</v>
      </c>
      <c r="E302">
        <v>0.20945945945945946</v>
      </c>
      <c r="F302">
        <v>0.19932432432432431</v>
      </c>
      <c r="G302">
        <v>0.18412162162162163</v>
      </c>
    </row>
    <row r="303" spans="1:7" x14ac:dyDescent="0.3">
      <c r="A303" s="5" t="s">
        <v>166</v>
      </c>
      <c r="B303" s="5" t="s">
        <v>36</v>
      </c>
      <c r="C303">
        <v>0.24210526315789474</v>
      </c>
      <c r="D303">
        <v>0.22105263157894736</v>
      </c>
      <c r="E303">
        <v>0.2</v>
      </c>
      <c r="F303">
        <v>0.17894736842105263</v>
      </c>
      <c r="G303">
        <v>0.15789473684210525</v>
      </c>
    </row>
    <row r="304" spans="1:7" x14ac:dyDescent="0.3">
      <c r="A304" s="5" t="s">
        <v>166</v>
      </c>
      <c r="B304" s="5" t="s">
        <v>38</v>
      </c>
      <c r="C304">
        <v>0.15920398009950248</v>
      </c>
      <c r="D304">
        <v>0.1890547263681592</v>
      </c>
      <c r="E304">
        <v>0.1691542288557214</v>
      </c>
      <c r="F304">
        <v>0.22885572139303484</v>
      </c>
      <c r="G304">
        <v>0.2537313432835821</v>
      </c>
    </row>
    <row r="305" spans="1:7" x14ac:dyDescent="0.3">
      <c r="A305" s="5" t="s">
        <v>166</v>
      </c>
      <c r="B305" s="5" t="s">
        <v>40</v>
      </c>
      <c r="C305">
        <v>0.23035392921415718</v>
      </c>
      <c r="D305">
        <v>0.21235752849430115</v>
      </c>
      <c r="E305">
        <v>0.19916016796640673</v>
      </c>
      <c r="F305">
        <v>0.1913617276544691</v>
      </c>
      <c r="G305">
        <v>0.16676664667066587</v>
      </c>
    </row>
    <row r="306" spans="1:7" x14ac:dyDescent="0.3">
      <c r="A306" s="5" t="s">
        <v>166</v>
      </c>
      <c r="B306" s="5" t="s">
        <v>42</v>
      </c>
      <c r="C306">
        <v>0.14716981132075471</v>
      </c>
      <c r="D306">
        <v>0.18490566037735848</v>
      </c>
      <c r="E306">
        <v>0.19622641509433963</v>
      </c>
      <c r="F306">
        <v>0.22641509433962265</v>
      </c>
      <c r="G306">
        <v>0.24528301886792453</v>
      </c>
    </row>
    <row r="307" spans="1:7" x14ac:dyDescent="0.3">
      <c r="A307" s="5" t="s">
        <v>166</v>
      </c>
      <c r="B307" s="5" t="s">
        <v>44</v>
      </c>
      <c r="C307">
        <v>0.25225225225225223</v>
      </c>
      <c r="D307">
        <v>0.26126126126126126</v>
      </c>
      <c r="E307">
        <v>0.17117117117117117</v>
      </c>
      <c r="F307">
        <v>0.16216216216216217</v>
      </c>
      <c r="G307">
        <v>0.15315315315315314</v>
      </c>
    </row>
    <row r="308" spans="1:7" x14ac:dyDescent="0.3">
      <c r="A308" s="5" t="s">
        <v>166</v>
      </c>
      <c r="B308" s="5" t="s">
        <v>46</v>
      </c>
      <c r="C308">
        <v>0.13713405238828968</v>
      </c>
      <c r="D308">
        <v>0.20184899845916796</v>
      </c>
      <c r="E308">
        <v>0.20184899845916796</v>
      </c>
      <c r="F308">
        <v>0.22650231124807396</v>
      </c>
      <c r="G308">
        <v>0.23266563944530047</v>
      </c>
    </row>
    <row r="309" spans="1:7" x14ac:dyDescent="0.3">
      <c r="A309" s="5" t="s">
        <v>166</v>
      </c>
      <c r="B309" s="5" t="s">
        <v>48</v>
      </c>
      <c r="C309">
        <v>0.21212121212121213</v>
      </c>
      <c r="D309">
        <v>0.21818181818181817</v>
      </c>
      <c r="E309">
        <v>0.20606060606060606</v>
      </c>
      <c r="F309">
        <v>0.20606060606060606</v>
      </c>
      <c r="G309">
        <v>0.15757575757575756</v>
      </c>
    </row>
    <row r="310" spans="1:7" x14ac:dyDescent="0.3">
      <c r="A310" s="5" t="s">
        <v>166</v>
      </c>
      <c r="B310" s="5" t="s">
        <v>50</v>
      </c>
      <c r="C310">
        <v>0.21306818181818182</v>
      </c>
      <c r="D310">
        <v>0.18181818181818182</v>
      </c>
      <c r="E310">
        <v>0.19886363636363635</v>
      </c>
      <c r="F310">
        <v>0.18039772727272727</v>
      </c>
      <c r="G310">
        <v>0.22585227272727273</v>
      </c>
    </row>
    <row r="311" spans="1:7" x14ac:dyDescent="0.3">
      <c r="A311" s="5" t="s">
        <v>166</v>
      </c>
      <c r="B311" s="5" t="s">
        <v>52</v>
      </c>
      <c r="C311">
        <v>0</v>
      </c>
      <c r="D311">
        <v>0</v>
      </c>
      <c r="E311">
        <v>0.875</v>
      </c>
      <c r="F311">
        <v>0</v>
      </c>
      <c r="G311">
        <v>0.125</v>
      </c>
    </row>
    <row r="312" spans="1:7" x14ac:dyDescent="0.3">
      <c r="A312" s="5" t="s">
        <v>166</v>
      </c>
      <c r="B312" s="5" t="s">
        <v>54</v>
      </c>
      <c r="C312">
        <v>0.15204678362573099</v>
      </c>
      <c r="D312">
        <v>0.17543859649122806</v>
      </c>
      <c r="E312">
        <v>0.19883040935672514</v>
      </c>
      <c r="F312">
        <v>0.21637426900584794</v>
      </c>
      <c r="G312">
        <v>0.25730994152046782</v>
      </c>
    </row>
    <row r="313" spans="1:7" x14ac:dyDescent="0.3">
      <c r="A313" s="5" t="s">
        <v>166</v>
      </c>
      <c r="B313" s="5" t="s">
        <v>56</v>
      </c>
      <c r="C313">
        <v>0.20253164556962025</v>
      </c>
      <c r="D313">
        <v>0.17088607594936708</v>
      </c>
      <c r="E313">
        <v>0.19620253164556961</v>
      </c>
      <c r="F313">
        <v>0.21518987341772153</v>
      </c>
      <c r="G313">
        <v>0.21518987341772153</v>
      </c>
    </row>
    <row r="314" spans="1:7" x14ac:dyDescent="0.3">
      <c r="A314" s="5" t="s">
        <v>167</v>
      </c>
      <c r="B314" s="5" t="s">
        <v>34</v>
      </c>
      <c r="C314">
        <v>0.19322033898305085</v>
      </c>
      <c r="D314">
        <v>0.19830508474576272</v>
      </c>
      <c r="E314">
        <v>0.19661016949152543</v>
      </c>
      <c r="F314">
        <v>0.22542372881355932</v>
      </c>
      <c r="G314">
        <v>0.1864406779661017</v>
      </c>
    </row>
    <row r="315" spans="1:7" x14ac:dyDescent="0.3">
      <c r="A315" s="5" t="s">
        <v>167</v>
      </c>
      <c r="B315" s="5" t="s">
        <v>36</v>
      </c>
      <c r="C315">
        <v>0.28767123287671231</v>
      </c>
      <c r="D315">
        <v>0.19863013698630136</v>
      </c>
      <c r="E315">
        <v>0.18493150684931506</v>
      </c>
      <c r="F315">
        <v>0.17808219178082191</v>
      </c>
      <c r="G315">
        <v>0.15068493150684931</v>
      </c>
    </row>
    <row r="316" spans="1:7" x14ac:dyDescent="0.3">
      <c r="A316" s="5" t="s">
        <v>167</v>
      </c>
      <c r="B316" s="5" t="s">
        <v>38</v>
      </c>
      <c r="C316">
        <v>0.1875</v>
      </c>
      <c r="D316">
        <v>0.16015625</v>
      </c>
      <c r="E316">
        <v>0.1796875</v>
      </c>
      <c r="F316">
        <v>0.22265625</v>
      </c>
      <c r="G316">
        <v>0.25</v>
      </c>
    </row>
    <row r="317" spans="1:7" x14ac:dyDescent="0.3">
      <c r="A317" s="5" t="s">
        <v>167</v>
      </c>
      <c r="B317" s="5" t="s">
        <v>40</v>
      </c>
      <c r="C317">
        <v>0.20644761314321142</v>
      </c>
      <c r="D317">
        <v>0.22814631122132673</v>
      </c>
      <c r="E317">
        <v>0.21202727836329821</v>
      </c>
      <c r="F317">
        <v>0.17854928704277742</v>
      </c>
      <c r="G317">
        <v>0.17482951022938623</v>
      </c>
    </row>
    <row r="318" spans="1:7" x14ac:dyDescent="0.3">
      <c r="A318" s="5" t="s">
        <v>167</v>
      </c>
      <c r="B318" s="5" t="s">
        <v>42</v>
      </c>
      <c r="C318">
        <v>0.18518518518518517</v>
      </c>
      <c r="D318">
        <v>0.16296296296296298</v>
      </c>
      <c r="E318">
        <v>0.21481481481481482</v>
      </c>
      <c r="F318">
        <v>0.2074074074074074</v>
      </c>
      <c r="G318">
        <v>0.22962962962962963</v>
      </c>
    </row>
    <row r="319" spans="1:7" x14ac:dyDescent="0.3">
      <c r="A319" s="5" t="s">
        <v>167</v>
      </c>
      <c r="B319" s="5" t="s">
        <v>44</v>
      </c>
      <c r="C319">
        <v>0.21276595744680851</v>
      </c>
      <c r="D319">
        <v>0.26241134751773049</v>
      </c>
      <c r="E319">
        <v>0.20567375886524822</v>
      </c>
      <c r="F319">
        <v>0.1773049645390071</v>
      </c>
      <c r="G319">
        <v>0.14184397163120568</v>
      </c>
    </row>
    <row r="320" spans="1:7" x14ac:dyDescent="0.3">
      <c r="A320" s="5" t="s">
        <v>167</v>
      </c>
      <c r="B320" s="5" t="s">
        <v>46</v>
      </c>
      <c r="C320">
        <v>0.19094922737306844</v>
      </c>
      <c r="D320">
        <v>0.16997792494481237</v>
      </c>
      <c r="E320">
        <v>0.19536423841059603</v>
      </c>
      <c r="F320">
        <v>0.21633554083885209</v>
      </c>
      <c r="G320">
        <v>0.22737306843267108</v>
      </c>
    </row>
    <row r="321" spans="1:7" x14ac:dyDescent="0.3">
      <c r="A321" s="5" t="s">
        <v>167</v>
      </c>
      <c r="B321" s="5" t="s">
        <v>48</v>
      </c>
      <c r="C321">
        <v>0.28712871287128711</v>
      </c>
      <c r="D321">
        <v>0.18811881188118812</v>
      </c>
      <c r="E321">
        <v>0.17821782178217821</v>
      </c>
      <c r="F321">
        <v>0.18811881188118812</v>
      </c>
      <c r="G321">
        <v>0.15841584158415842</v>
      </c>
    </row>
    <row r="322" spans="1:7" x14ac:dyDescent="0.3">
      <c r="A322" s="5" t="s">
        <v>167</v>
      </c>
      <c r="B322" s="5" t="s">
        <v>50</v>
      </c>
      <c r="C322">
        <v>0.18801652892561985</v>
      </c>
      <c r="D322">
        <v>0.19214876033057851</v>
      </c>
      <c r="E322">
        <v>0.19214876033057851</v>
      </c>
      <c r="F322">
        <v>0.2024793388429752</v>
      </c>
      <c r="G322">
        <v>0.22520661157024793</v>
      </c>
    </row>
    <row r="323" spans="1:7" x14ac:dyDescent="0.3">
      <c r="A323" s="5" t="s">
        <v>167</v>
      </c>
      <c r="B323" s="5" t="s">
        <v>52</v>
      </c>
      <c r="C323">
        <v>0.41666666666666669</v>
      </c>
      <c r="D323">
        <v>8.3333333333333329E-2</v>
      </c>
      <c r="E323">
        <v>8.3333333333333329E-2</v>
      </c>
      <c r="F323">
        <v>0.16666666666666666</v>
      </c>
      <c r="G323">
        <v>0.25</v>
      </c>
    </row>
    <row r="324" spans="1:7" x14ac:dyDescent="0.3">
      <c r="A324" s="5" t="s">
        <v>167</v>
      </c>
      <c r="B324" s="5" t="s">
        <v>54</v>
      </c>
      <c r="C324">
        <v>0.20454545454545456</v>
      </c>
      <c r="D324">
        <v>0.19886363636363635</v>
      </c>
      <c r="E324">
        <v>0.17613636363636365</v>
      </c>
      <c r="F324">
        <v>0.19886363636363635</v>
      </c>
      <c r="G324">
        <v>0.22159090909090909</v>
      </c>
    </row>
    <row r="325" spans="1:7" x14ac:dyDescent="0.3">
      <c r="A325" s="5" t="s">
        <v>167</v>
      </c>
      <c r="B325" s="5" t="s">
        <v>56</v>
      </c>
      <c r="C325">
        <v>0.16118421052631579</v>
      </c>
      <c r="D325">
        <v>0.20723684210526316</v>
      </c>
      <c r="E325">
        <v>0.20065789473684212</v>
      </c>
      <c r="F325">
        <v>0.21381578947368421</v>
      </c>
      <c r="G325">
        <v>0.21710526315789475</v>
      </c>
    </row>
    <row r="326" spans="1:7" x14ac:dyDescent="0.3">
      <c r="A326" s="5" t="s">
        <v>176</v>
      </c>
      <c r="B326" s="5" t="s">
        <v>34</v>
      </c>
      <c r="C326">
        <v>0.21371610845295055</v>
      </c>
      <c r="D326">
        <v>0.22009569377990432</v>
      </c>
      <c r="E326">
        <v>0.20574162679425836</v>
      </c>
      <c r="F326">
        <v>0.19617224880382775</v>
      </c>
      <c r="G326">
        <v>0.16427432216905902</v>
      </c>
    </row>
    <row r="327" spans="1:7" x14ac:dyDescent="0.3">
      <c r="A327" s="5" t="s">
        <v>176</v>
      </c>
      <c r="B327" s="5" t="s">
        <v>36</v>
      </c>
      <c r="C327">
        <v>0.24031007751937986</v>
      </c>
      <c r="D327">
        <v>0.21705426356589147</v>
      </c>
      <c r="E327">
        <v>0.20155038759689922</v>
      </c>
      <c r="F327">
        <v>0.17829457364341086</v>
      </c>
      <c r="G327">
        <v>0.16279069767441862</v>
      </c>
    </row>
    <row r="328" spans="1:7" x14ac:dyDescent="0.3">
      <c r="A328" s="5" t="s">
        <v>176</v>
      </c>
      <c r="B328" s="5" t="s">
        <v>38</v>
      </c>
      <c r="C328">
        <v>0.14102564102564102</v>
      </c>
      <c r="D328">
        <v>0.19230769230769232</v>
      </c>
      <c r="E328">
        <v>0.20085470085470086</v>
      </c>
      <c r="F328">
        <v>0.2264957264957265</v>
      </c>
      <c r="G328">
        <v>0.23931623931623933</v>
      </c>
    </row>
    <row r="329" spans="1:7" x14ac:dyDescent="0.3">
      <c r="A329" s="5" t="s">
        <v>176</v>
      </c>
      <c r="B329" s="5" t="s">
        <v>40</v>
      </c>
      <c r="C329">
        <v>0.355674709562109</v>
      </c>
      <c r="D329">
        <v>0.24039320822162646</v>
      </c>
      <c r="E329">
        <v>0.16621983914209115</v>
      </c>
      <c r="F329">
        <v>0.13404825737265416</v>
      </c>
      <c r="G329">
        <v>0.10366398570151922</v>
      </c>
    </row>
    <row r="330" spans="1:7" x14ac:dyDescent="0.3">
      <c r="A330" s="5" t="s">
        <v>176</v>
      </c>
      <c r="B330" s="5" t="s">
        <v>42</v>
      </c>
      <c r="C330">
        <v>0.16712328767123288</v>
      </c>
      <c r="D330">
        <v>0.19726027397260273</v>
      </c>
      <c r="E330">
        <v>0.20547945205479451</v>
      </c>
      <c r="F330">
        <v>0.20821917808219179</v>
      </c>
      <c r="G330">
        <v>0.22191780821917809</v>
      </c>
    </row>
    <row r="331" spans="1:7" x14ac:dyDescent="0.3">
      <c r="A331" s="5" t="s">
        <v>176</v>
      </c>
      <c r="B331" s="5" t="s">
        <v>44</v>
      </c>
      <c r="C331">
        <v>0.16216216216216217</v>
      </c>
      <c r="D331">
        <v>0.17567567567567569</v>
      </c>
      <c r="E331">
        <v>0.24324324324324326</v>
      </c>
      <c r="F331">
        <v>0.20270270270270271</v>
      </c>
      <c r="G331">
        <v>0.21621621621621623</v>
      </c>
    </row>
    <row r="332" spans="1:7" x14ac:dyDescent="0.3">
      <c r="A332" s="5" t="s">
        <v>176</v>
      </c>
      <c r="B332" s="5" t="s">
        <v>46</v>
      </c>
      <c r="C332">
        <v>0.11840228245363767</v>
      </c>
      <c r="D332">
        <v>0.16833095577746077</v>
      </c>
      <c r="E332">
        <v>0.20684736091298145</v>
      </c>
      <c r="F332">
        <v>0.24108416547788872</v>
      </c>
      <c r="G332">
        <v>0.26533523537803139</v>
      </c>
    </row>
    <row r="333" spans="1:7" x14ac:dyDescent="0.3">
      <c r="A333" s="5" t="s">
        <v>176</v>
      </c>
      <c r="B333" s="5" t="s">
        <v>48</v>
      </c>
      <c r="C333">
        <v>0.19540229885057472</v>
      </c>
      <c r="D333">
        <v>0.21839080459770116</v>
      </c>
      <c r="E333">
        <v>0.21839080459770116</v>
      </c>
      <c r="F333">
        <v>0.20689655172413793</v>
      </c>
      <c r="G333">
        <v>0.16091954022988506</v>
      </c>
    </row>
    <row r="334" spans="1:7" x14ac:dyDescent="0.3">
      <c r="A334" s="5" t="s">
        <v>176</v>
      </c>
      <c r="B334" s="5" t="s">
        <v>50</v>
      </c>
      <c r="C334">
        <v>0.13737075332348597</v>
      </c>
      <c r="D334">
        <v>0.17577548005908419</v>
      </c>
      <c r="E334">
        <v>0.21565731166912852</v>
      </c>
      <c r="F334">
        <v>0.23485967503692762</v>
      </c>
      <c r="G334">
        <v>0.2363367799113737</v>
      </c>
    </row>
    <row r="335" spans="1:7" x14ac:dyDescent="0.3">
      <c r="A335" s="5" t="s">
        <v>176</v>
      </c>
      <c r="B335" s="5" t="s">
        <v>52</v>
      </c>
      <c r="C335">
        <v>0.18032786885245902</v>
      </c>
      <c r="D335">
        <v>6.5573770491803282E-2</v>
      </c>
      <c r="E335">
        <v>0.16393442622950818</v>
      </c>
      <c r="F335">
        <v>0.14754098360655737</v>
      </c>
      <c r="G335">
        <v>0.44262295081967212</v>
      </c>
    </row>
    <row r="336" spans="1:7" x14ac:dyDescent="0.3">
      <c r="A336" s="5" t="s">
        <v>176</v>
      </c>
      <c r="B336" s="5" t="s">
        <v>54</v>
      </c>
      <c r="C336">
        <v>0.12272727272727273</v>
      </c>
      <c r="D336">
        <v>0.17499999999999999</v>
      </c>
      <c r="E336">
        <v>0.21136363636363636</v>
      </c>
      <c r="F336">
        <v>0.23181818181818181</v>
      </c>
      <c r="G336">
        <v>0.25909090909090909</v>
      </c>
    </row>
    <row r="337" spans="1:7" x14ac:dyDescent="0.3">
      <c r="A337" s="5" t="s">
        <v>176</v>
      </c>
      <c r="B337" s="5" t="s">
        <v>56</v>
      </c>
      <c r="C337">
        <v>0.14499999999999999</v>
      </c>
      <c r="D337">
        <v>0.19750000000000001</v>
      </c>
      <c r="E337">
        <v>0.215</v>
      </c>
      <c r="F337">
        <v>0.21249999999999999</v>
      </c>
      <c r="G337">
        <v>0.23</v>
      </c>
    </row>
    <row r="338" spans="1:7" x14ac:dyDescent="0.3">
      <c r="A338" s="5" t="s">
        <v>177</v>
      </c>
      <c r="B338" s="5" t="s">
        <v>34</v>
      </c>
      <c r="C338">
        <v>0.19662921348314608</v>
      </c>
      <c r="D338">
        <v>0.20786516853932585</v>
      </c>
      <c r="E338">
        <v>0.20224719101123595</v>
      </c>
      <c r="F338">
        <v>0.20224719101123595</v>
      </c>
      <c r="G338">
        <v>0.19101123595505617</v>
      </c>
    </row>
    <row r="339" spans="1:7" x14ac:dyDescent="0.3">
      <c r="A339" s="5" t="s">
        <v>177</v>
      </c>
      <c r="B339" s="5" t="s">
        <v>36</v>
      </c>
      <c r="C339">
        <v>0.26282051282051283</v>
      </c>
      <c r="D339">
        <v>0.23717948717948717</v>
      </c>
      <c r="E339">
        <v>0.19871794871794871</v>
      </c>
      <c r="F339">
        <v>0.17307692307692307</v>
      </c>
      <c r="G339">
        <v>0.12820512820512819</v>
      </c>
    </row>
    <row r="340" spans="1:7" x14ac:dyDescent="0.3">
      <c r="A340" s="5" t="s">
        <v>177</v>
      </c>
      <c r="B340" s="5" t="s">
        <v>38</v>
      </c>
      <c r="C340">
        <v>0.16279069767441862</v>
      </c>
      <c r="D340">
        <v>0.17674418604651163</v>
      </c>
      <c r="E340">
        <v>0.19069767441860466</v>
      </c>
      <c r="F340">
        <v>0.22325581395348837</v>
      </c>
      <c r="G340">
        <v>0.24651162790697675</v>
      </c>
    </row>
    <row r="341" spans="1:7" x14ac:dyDescent="0.3">
      <c r="A341" s="5" t="s">
        <v>177</v>
      </c>
      <c r="B341" s="5" t="s">
        <v>40</v>
      </c>
      <c r="C341">
        <v>0.24240545567265964</v>
      </c>
      <c r="D341">
        <v>0.2231866088034718</v>
      </c>
      <c r="E341">
        <v>0.20396776193428395</v>
      </c>
      <c r="F341">
        <v>0.18040917544947302</v>
      </c>
      <c r="G341">
        <v>0.15003099814011159</v>
      </c>
    </row>
    <row r="342" spans="1:7" x14ac:dyDescent="0.3">
      <c r="A342" s="5" t="s">
        <v>177</v>
      </c>
      <c r="B342" s="5" t="s">
        <v>42</v>
      </c>
      <c r="C342">
        <v>0.14754098360655737</v>
      </c>
      <c r="D342">
        <v>0.18852459016393441</v>
      </c>
      <c r="E342">
        <v>0.20901639344262296</v>
      </c>
      <c r="F342">
        <v>0.20901639344262296</v>
      </c>
      <c r="G342">
        <v>0.24590163934426229</v>
      </c>
    </row>
    <row r="343" spans="1:7" x14ac:dyDescent="0.3">
      <c r="A343" s="5" t="s">
        <v>177</v>
      </c>
      <c r="B343" s="5" t="s">
        <v>44</v>
      </c>
      <c r="C343">
        <v>0.171875</v>
      </c>
      <c r="D343">
        <v>0.21875</v>
      </c>
      <c r="E343">
        <v>0.21875</v>
      </c>
      <c r="F343">
        <v>0.1875</v>
      </c>
      <c r="G343">
        <v>0.203125</v>
      </c>
    </row>
    <row r="344" spans="1:7" x14ac:dyDescent="0.3">
      <c r="A344" s="5" t="s">
        <v>177</v>
      </c>
      <c r="B344" s="5" t="s">
        <v>46</v>
      </c>
      <c r="C344">
        <v>0.12345679012345678</v>
      </c>
      <c r="D344">
        <v>0.15343915343915343</v>
      </c>
      <c r="E344">
        <v>0.20105820105820105</v>
      </c>
      <c r="F344">
        <v>0.23280423280423279</v>
      </c>
      <c r="G344">
        <v>0.28924162257495589</v>
      </c>
    </row>
    <row r="345" spans="1:7" x14ac:dyDescent="0.3">
      <c r="A345" s="5" t="s">
        <v>177</v>
      </c>
      <c r="B345" s="5" t="s">
        <v>48</v>
      </c>
      <c r="C345">
        <v>0.23214285714285715</v>
      </c>
      <c r="D345">
        <v>0.22023809523809523</v>
      </c>
      <c r="E345">
        <v>0.20238095238095238</v>
      </c>
      <c r="F345">
        <v>0.19047619047619047</v>
      </c>
      <c r="G345">
        <v>0.15476190476190477</v>
      </c>
    </row>
    <row r="346" spans="1:7" x14ac:dyDescent="0.3">
      <c r="A346" s="5" t="s">
        <v>177</v>
      </c>
      <c r="B346" s="5" t="s">
        <v>50</v>
      </c>
      <c r="C346">
        <v>0.16417910447761194</v>
      </c>
      <c r="D346">
        <v>0.18656716417910449</v>
      </c>
      <c r="E346">
        <v>0.19402985074626866</v>
      </c>
      <c r="F346">
        <v>0.21641791044776118</v>
      </c>
      <c r="G346">
        <v>0.23880597014925373</v>
      </c>
    </row>
    <row r="347" spans="1:7" x14ac:dyDescent="0.3">
      <c r="A347" s="5" t="s">
        <v>177</v>
      </c>
      <c r="B347" s="5" t="s">
        <v>52</v>
      </c>
      <c r="C347">
        <v>0.35294117647058826</v>
      </c>
      <c r="D347">
        <v>0.13235294117647059</v>
      </c>
      <c r="E347">
        <v>0.13235294117647059</v>
      </c>
      <c r="F347">
        <v>0.16176470588235295</v>
      </c>
      <c r="G347">
        <v>0.22058823529411764</v>
      </c>
    </row>
    <row r="348" spans="1:7" x14ac:dyDescent="0.3">
      <c r="A348" s="5" t="s">
        <v>177</v>
      </c>
      <c r="B348" s="5" t="s">
        <v>54</v>
      </c>
      <c r="C348">
        <v>0.17472118959107807</v>
      </c>
      <c r="D348">
        <v>0.15985130111524162</v>
      </c>
      <c r="E348">
        <v>0.18587360594795538</v>
      </c>
      <c r="F348">
        <v>0.21561338289962825</v>
      </c>
      <c r="G348">
        <v>0.26394052044609667</v>
      </c>
    </row>
    <row r="349" spans="1:7" x14ac:dyDescent="0.3">
      <c r="A349" s="5" t="s">
        <v>177</v>
      </c>
      <c r="B349" s="5" t="s">
        <v>56</v>
      </c>
      <c r="C349">
        <v>0.1957142857142857</v>
      </c>
      <c r="D349">
        <v>0.20428571428571429</v>
      </c>
      <c r="E349">
        <v>0.20142857142857143</v>
      </c>
      <c r="F349">
        <v>0.20428571428571429</v>
      </c>
      <c r="G349">
        <v>0.19428571428571428</v>
      </c>
    </row>
  </sheetData>
  <sortState xmlns:xlrd2="http://schemas.microsoft.com/office/spreadsheetml/2017/richdata2" ref="N334:N362">
    <sortCondition ref="N334:N362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5E8A-B050-45F6-9ED0-E5781C6CAAF7}">
  <dimension ref="A1:H349"/>
  <sheetViews>
    <sheetView zoomScale="86" workbookViewId="0">
      <selection activeCell="F37" sqref="F37"/>
    </sheetView>
  </sheetViews>
  <sheetFormatPr defaultRowHeight="14.4" x14ac:dyDescent="0.3"/>
  <sheetData>
    <row r="1" spans="1:8" x14ac:dyDescent="0.3"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3">
      <c r="A2" t="s">
        <v>78</v>
      </c>
      <c r="B2" s="5" t="s">
        <v>159</v>
      </c>
      <c r="C2" s="5" t="s">
        <v>34</v>
      </c>
      <c r="D2" s="16">
        <v>0.13672654690618763</v>
      </c>
      <c r="E2" s="16">
        <v>0.12375249500998003</v>
      </c>
      <c r="F2" s="16">
        <v>0.11976047904191617</v>
      </c>
      <c r="G2" s="16">
        <v>0.1187624750499002</v>
      </c>
      <c r="H2" s="16">
        <v>0.10678642714570859</v>
      </c>
    </row>
    <row r="3" spans="1:8" x14ac:dyDescent="0.3">
      <c r="A3" t="s">
        <v>78</v>
      </c>
      <c r="B3" s="5" t="s">
        <v>159</v>
      </c>
      <c r="C3" s="5" t="s">
        <v>36</v>
      </c>
      <c r="D3" s="16">
        <v>3.2934131736526949E-2</v>
      </c>
      <c r="E3" s="16">
        <v>2.6946107784431138E-2</v>
      </c>
      <c r="F3" s="16">
        <v>2.2954091816367265E-2</v>
      </c>
      <c r="G3" s="16">
        <v>2.1956087824351298E-2</v>
      </c>
      <c r="H3" s="16">
        <v>1.6966067864271458E-2</v>
      </c>
    </row>
    <row r="4" spans="1:8" x14ac:dyDescent="0.3">
      <c r="A4" t="s">
        <v>78</v>
      </c>
      <c r="B4" s="5" t="s">
        <v>159</v>
      </c>
      <c r="C4" s="5" t="s">
        <v>38</v>
      </c>
      <c r="D4" s="16">
        <v>4.291417165668663E-2</v>
      </c>
      <c r="E4" s="16">
        <v>4.291417165668663E-2</v>
      </c>
      <c r="F4" s="16">
        <v>4.590818363273453E-2</v>
      </c>
      <c r="G4" s="16">
        <v>4.8902195608782437E-2</v>
      </c>
      <c r="H4" s="16">
        <v>5.588822355289421E-2</v>
      </c>
    </row>
    <row r="5" spans="1:8" x14ac:dyDescent="0.3">
      <c r="A5" t="s">
        <v>78</v>
      </c>
      <c r="B5" s="5" t="s">
        <v>159</v>
      </c>
      <c r="C5" s="5" t="s">
        <v>40</v>
      </c>
      <c r="D5" s="16">
        <v>0.32634730538922158</v>
      </c>
      <c r="E5" s="16">
        <v>0.29441117764471059</v>
      </c>
      <c r="F5" s="16">
        <v>0.26447105788423153</v>
      </c>
      <c r="G5" s="16">
        <v>0.25748502994011974</v>
      </c>
      <c r="H5" s="16">
        <v>0.22255489021956087</v>
      </c>
    </row>
    <row r="6" spans="1:8" x14ac:dyDescent="0.3">
      <c r="A6" t="s">
        <v>78</v>
      </c>
      <c r="B6" s="5" t="s">
        <v>159</v>
      </c>
      <c r="C6" s="5" t="s">
        <v>42</v>
      </c>
      <c r="D6" s="16">
        <v>6.1876247504990017E-2</v>
      </c>
      <c r="E6" s="16">
        <v>5.7884231536926151E-2</v>
      </c>
      <c r="F6" s="16">
        <v>7.5848303393213579E-2</v>
      </c>
      <c r="G6" s="16">
        <v>7.1856287425149698E-2</v>
      </c>
      <c r="H6" s="16">
        <v>7.3852295409181631E-2</v>
      </c>
    </row>
    <row r="7" spans="1:8" x14ac:dyDescent="0.3">
      <c r="A7" t="s">
        <v>78</v>
      </c>
      <c r="B7" s="5" t="s">
        <v>159</v>
      </c>
      <c r="C7" s="5" t="s">
        <v>44</v>
      </c>
      <c r="D7" s="16">
        <v>3.5928143712574849E-2</v>
      </c>
      <c r="E7" s="16">
        <v>3.7924151696606789E-2</v>
      </c>
      <c r="F7" s="16">
        <v>3.7924151696606789E-2</v>
      </c>
      <c r="G7" s="16">
        <v>3.8922155688622756E-2</v>
      </c>
      <c r="H7" s="16">
        <v>3.8922155688622756E-2</v>
      </c>
    </row>
    <row r="8" spans="1:8" x14ac:dyDescent="0.3">
      <c r="A8" t="s">
        <v>78</v>
      </c>
      <c r="B8" s="5" t="s">
        <v>159</v>
      </c>
      <c r="C8" s="5" t="s">
        <v>46</v>
      </c>
      <c r="D8" s="16">
        <v>8.9820359281437126E-2</v>
      </c>
      <c r="E8" s="16">
        <v>0.13373253493013973</v>
      </c>
      <c r="F8" s="16">
        <v>0.13972055888223553</v>
      </c>
      <c r="G8" s="16">
        <v>0.1467065868263473</v>
      </c>
      <c r="H8" s="16">
        <v>0.15968063872255489</v>
      </c>
    </row>
    <row r="9" spans="1:8" x14ac:dyDescent="0.3">
      <c r="A9" t="s">
        <v>78</v>
      </c>
      <c r="B9" s="5" t="s">
        <v>159</v>
      </c>
      <c r="C9" s="5" t="s">
        <v>48</v>
      </c>
      <c r="D9" s="16">
        <v>1.6966067864271458E-2</v>
      </c>
      <c r="E9" s="16">
        <v>1.5968063872255488E-2</v>
      </c>
      <c r="F9" s="16">
        <v>1.5968063872255488E-2</v>
      </c>
      <c r="G9" s="16">
        <v>1.4970059880239521E-2</v>
      </c>
      <c r="H9" s="16">
        <v>1.2974051896207584E-2</v>
      </c>
    </row>
    <row r="10" spans="1:8" x14ac:dyDescent="0.3">
      <c r="A10" t="s">
        <v>78</v>
      </c>
      <c r="B10" s="5" t="s">
        <v>159</v>
      </c>
      <c r="C10" s="5" t="s">
        <v>50</v>
      </c>
      <c r="D10" s="16">
        <v>9.7804391217564873E-2</v>
      </c>
      <c r="E10" s="16">
        <v>9.9800399201596807E-2</v>
      </c>
      <c r="F10" s="16">
        <v>0.10678642714570859</v>
      </c>
      <c r="G10" s="16">
        <v>0.11377245508982035</v>
      </c>
      <c r="H10" s="16">
        <v>0.1317365269461078</v>
      </c>
    </row>
    <row r="11" spans="1:8" x14ac:dyDescent="0.3">
      <c r="A11" t="s">
        <v>78</v>
      </c>
      <c r="B11" s="5" t="s">
        <v>159</v>
      </c>
      <c r="C11" s="5" t="s">
        <v>52</v>
      </c>
      <c r="D11" s="16">
        <v>1.2974051896207584E-2</v>
      </c>
      <c r="E11" s="16">
        <v>6.9860279441117763E-3</v>
      </c>
      <c r="F11" s="16">
        <v>7.9840319361277438E-3</v>
      </c>
      <c r="G11" s="16">
        <v>9.9800399201596807E-3</v>
      </c>
      <c r="H11" s="16">
        <v>1.4970059880239521E-2</v>
      </c>
    </row>
    <row r="12" spans="1:8" x14ac:dyDescent="0.3">
      <c r="A12" t="s">
        <v>78</v>
      </c>
      <c r="B12" s="5" t="s">
        <v>159</v>
      </c>
      <c r="C12" s="5" t="s">
        <v>54</v>
      </c>
      <c r="D12" s="16">
        <v>6.3872255489021951E-2</v>
      </c>
      <c r="E12" s="16">
        <v>6.7864271457085831E-2</v>
      </c>
      <c r="F12" s="16">
        <v>6.7864271457085831E-2</v>
      </c>
      <c r="G12" s="16">
        <v>6.4870259481037917E-2</v>
      </c>
      <c r="H12" s="16">
        <v>7.3852295409181631E-2</v>
      </c>
    </row>
    <row r="13" spans="1:8" x14ac:dyDescent="0.3">
      <c r="A13" t="s">
        <v>78</v>
      </c>
      <c r="B13" s="5" t="s">
        <v>159</v>
      </c>
      <c r="C13" s="5" t="s">
        <v>56</v>
      </c>
      <c r="D13" s="16">
        <v>8.1836327345309379E-2</v>
      </c>
      <c r="E13" s="16">
        <v>8.9820359281437126E-2</v>
      </c>
      <c r="F13" s="16">
        <v>9.3812375249500993E-2</v>
      </c>
      <c r="G13" s="16">
        <v>8.8822355289421159E-2</v>
      </c>
      <c r="H13" s="16">
        <v>8.8822355289421159E-2</v>
      </c>
    </row>
    <row r="14" spans="1:8" x14ac:dyDescent="0.3">
      <c r="A14" t="s">
        <v>59</v>
      </c>
      <c r="B14" s="5" t="s">
        <v>141</v>
      </c>
      <c r="C14" s="5" t="s">
        <v>34</v>
      </c>
      <c r="D14" s="16">
        <v>0.13386613386613386</v>
      </c>
      <c r="E14" s="16">
        <v>0.12587412587412589</v>
      </c>
      <c r="F14" s="16">
        <v>0.12987012987012986</v>
      </c>
      <c r="G14" s="16">
        <v>0.12687312687312688</v>
      </c>
      <c r="H14" s="16">
        <v>0.12787212787212801</v>
      </c>
    </row>
    <row r="15" spans="1:8" x14ac:dyDescent="0.3">
      <c r="A15" t="s">
        <v>59</v>
      </c>
      <c r="B15" s="5" t="s">
        <v>141</v>
      </c>
      <c r="C15" s="5" t="s">
        <v>36</v>
      </c>
      <c r="D15" s="16">
        <v>2.8971028971028972E-2</v>
      </c>
      <c r="E15" s="16">
        <v>2.197802197802198E-2</v>
      </c>
      <c r="F15" s="16">
        <v>2.097902097902098E-2</v>
      </c>
      <c r="G15" s="16">
        <v>1.998001998001998E-2</v>
      </c>
      <c r="H15" s="16">
        <v>1.6983016983016984E-2</v>
      </c>
    </row>
    <row r="16" spans="1:8" x14ac:dyDescent="0.3">
      <c r="A16" t="s">
        <v>59</v>
      </c>
      <c r="B16" s="5" t="s">
        <v>141</v>
      </c>
      <c r="C16" s="5" t="s">
        <v>38</v>
      </c>
      <c r="D16" s="16">
        <v>3.1968031968031968E-2</v>
      </c>
      <c r="E16" s="16">
        <v>3.1968031968031968E-2</v>
      </c>
      <c r="F16" s="16">
        <v>3.996003996003996E-2</v>
      </c>
      <c r="G16" s="16">
        <v>4.5954045954045952E-2</v>
      </c>
      <c r="H16" s="16">
        <v>5.5944055944055944E-2</v>
      </c>
    </row>
    <row r="17" spans="1:8" x14ac:dyDescent="0.3">
      <c r="A17" t="s">
        <v>59</v>
      </c>
      <c r="B17" s="5" t="s">
        <v>141</v>
      </c>
      <c r="C17" s="5" t="s">
        <v>40</v>
      </c>
      <c r="D17" s="16">
        <v>0.4095904095904096</v>
      </c>
      <c r="E17" s="16">
        <v>0.34665334665334663</v>
      </c>
      <c r="F17" s="16">
        <v>0.3046953046953047</v>
      </c>
      <c r="G17" s="16">
        <v>0.25374625374625376</v>
      </c>
      <c r="H17" s="16">
        <v>0.23376623376623376</v>
      </c>
    </row>
    <row r="18" spans="1:8" x14ac:dyDescent="0.3">
      <c r="A18" t="s">
        <v>59</v>
      </c>
      <c r="B18" s="5" t="s">
        <v>141</v>
      </c>
      <c r="C18" s="5" t="s">
        <v>42</v>
      </c>
      <c r="D18" s="16">
        <v>3.5964035964035967E-2</v>
      </c>
      <c r="E18" s="16">
        <v>3.996003996003996E-2</v>
      </c>
      <c r="F18" s="16">
        <v>5.1948051948051951E-2</v>
      </c>
      <c r="G18" s="16">
        <v>6.6933066933066929E-2</v>
      </c>
      <c r="H18" s="16">
        <v>6.9930069930069935E-2</v>
      </c>
    </row>
    <row r="19" spans="1:8" x14ac:dyDescent="0.3">
      <c r="A19" t="s">
        <v>59</v>
      </c>
      <c r="B19" s="5" t="s">
        <v>141</v>
      </c>
      <c r="C19" s="5" t="s">
        <v>44</v>
      </c>
      <c r="D19" s="16">
        <v>4.7952047952047952E-2</v>
      </c>
      <c r="E19" s="16">
        <v>4.9950049950049952E-2</v>
      </c>
      <c r="F19" s="16">
        <v>5.0949050949050952E-2</v>
      </c>
      <c r="G19" s="16">
        <v>4.3956043956043959E-2</v>
      </c>
      <c r="H19" s="16">
        <v>4.095904095904096E-2</v>
      </c>
    </row>
    <row r="20" spans="1:8" x14ac:dyDescent="0.3">
      <c r="A20" t="s">
        <v>59</v>
      </c>
      <c r="B20" s="5" t="s">
        <v>141</v>
      </c>
      <c r="C20" s="5" t="s">
        <v>46</v>
      </c>
      <c r="D20" s="16">
        <v>7.8921078921078927E-2</v>
      </c>
      <c r="E20" s="16">
        <v>0.11988011988011989</v>
      </c>
      <c r="F20" s="16">
        <v>0.11288711288711288</v>
      </c>
      <c r="G20" s="16">
        <v>0.14685314685314685</v>
      </c>
      <c r="H20" s="16">
        <v>0.14985014985014986</v>
      </c>
    </row>
    <row r="21" spans="1:8" x14ac:dyDescent="0.3">
      <c r="A21" t="s">
        <v>59</v>
      </c>
      <c r="B21" s="5" t="s">
        <v>141</v>
      </c>
      <c r="C21" s="5" t="s">
        <v>48</v>
      </c>
      <c r="D21" s="16">
        <v>4.195804195804196E-2</v>
      </c>
      <c r="E21" s="16">
        <v>3.4965034965034968E-2</v>
      </c>
      <c r="F21" s="16">
        <v>3.1968031968031968E-2</v>
      </c>
      <c r="G21" s="16">
        <v>2.6973026973026972E-2</v>
      </c>
      <c r="H21" s="16">
        <v>2.3976023976023976E-2</v>
      </c>
    </row>
    <row r="22" spans="1:8" x14ac:dyDescent="0.3">
      <c r="A22" t="s">
        <v>59</v>
      </c>
      <c r="B22" s="5" t="s">
        <v>141</v>
      </c>
      <c r="C22" s="5" t="s">
        <v>50</v>
      </c>
      <c r="D22" s="16">
        <v>5.6943056943056944E-2</v>
      </c>
      <c r="E22" s="16">
        <v>7.0929070929070928E-2</v>
      </c>
      <c r="F22" s="16">
        <v>8.7912087912087919E-2</v>
      </c>
      <c r="G22" s="16">
        <v>8.3916083916083919E-2</v>
      </c>
      <c r="H22" s="16">
        <v>8.9910089910089905E-2</v>
      </c>
    </row>
    <row r="23" spans="1:8" x14ac:dyDescent="0.3">
      <c r="A23" t="s">
        <v>59</v>
      </c>
      <c r="B23" s="5" t="s">
        <v>141</v>
      </c>
      <c r="C23" s="5" t="s">
        <v>52</v>
      </c>
      <c r="D23" s="16">
        <v>3.996003996003996E-3</v>
      </c>
      <c r="E23" s="16">
        <v>2.997002997002997E-3</v>
      </c>
      <c r="F23" s="16">
        <v>2.997002997002997E-3</v>
      </c>
      <c r="G23" s="16">
        <v>4.995004995004995E-3</v>
      </c>
      <c r="H23" s="16">
        <v>7.992007992007992E-3</v>
      </c>
    </row>
    <row r="24" spans="1:8" x14ac:dyDescent="0.3">
      <c r="A24" t="s">
        <v>59</v>
      </c>
      <c r="B24" s="5" t="s">
        <v>141</v>
      </c>
      <c r="C24" s="5" t="s">
        <v>54</v>
      </c>
      <c r="D24" s="16">
        <v>3.796203796203796E-2</v>
      </c>
      <c r="E24" s="16">
        <v>4.8951048951048952E-2</v>
      </c>
      <c r="F24" s="16">
        <v>6.0939060939060936E-2</v>
      </c>
      <c r="G24" s="16">
        <v>6.7932067932067935E-2</v>
      </c>
      <c r="H24" s="16">
        <v>7.3926073926073921E-2</v>
      </c>
    </row>
    <row r="25" spans="1:8" x14ac:dyDescent="0.3">
      <c r="A25" t="s">
        <v>59</v>
      </c>
      <c r="B25" s="5" t="s">
        <v>141</v>
      </c>
      <c r="C25" s="5" t="s">
        <v>56</v>
      </c>
      <c r="D25" s="16">
        <v>9.1908091908091905E-2</v>
      </c>
      <c r="E25" s="16">
        <v>0.1038961038961039</v>
      </c>
      <c r="F25" s="16">
        <v>0.1048951048951049</v>
      </c>
      <c r="G25" s="16">
        <v>0.10989010989010989</v>
      </c>
      <c r="H25" s="16">
        <v>0.1088911088911089</v>
      </c>
    </row>
    <row r="26" spans="1:8" x14ac:dyDescent="0.3">
      <c r="A26" t="s">
        <v>60</v>
      </c>
      <c r="B26" s="5" t="s">
        <v>142</v>
      </c>
      <c r="C26" s="5" t="s">
        <v>34</v>
      </c>
      <c r="D26" s="16">
        <v>0.35199999999999998</v>
      </c>
      <c r="E26" s="16">
        <v>0.315</v>
      </c>
      <c r="F26" s="16">
        <v>0.28999999999999998</v>
      </c>
      <c r="G26" s="16">
        <v>0.26100000000000001</v>
      </c>
      <c r="H26" s="16">
        <v>0.219</v>
      </c>
    </row>
    <row r="27" spans="1:8" x14ac:dyDescent="0.3">
      <c r="A27" t="s">
        <v>60</v>
      </c>
      <c r="B27" s="5" t="s">
        <v>142</v>
      </c>
      <c r="C27" s="5" t="s">
        <v>36</v>
      </c>
      <c r="D27" s="16">
        <v>2.4E-2</v>
      </c>
      <c r="E27" s="16">
        <v>3.4000000000000002E-2</v>
      </c>
      <c r="F27" s="16">
        <v>4.2000000000000003E-2</v>
      </c>
      <c r="G27" s="16">
        <v>4.2999999999999997E-2</v>
      </c>
      <c r="H27" s="16">
        <v>4.8000000000000001E-2</v>
      </c>
    </row>
    <row r="28" spans="1:8" x14ac:dyDescent="0.3">
      <c r="A28" t="s">
        <v>60</v>
      </c>
      <c r="B28" s="5" t="s">
        <v>142</v>
      </c>
      <c r="C28" s="5" t="s">
        <v>38</v>
      </c>
      <c r="D28" s="16">
        <v>1.4999999999999999E-2</v>
      </c>
      <c r="E28" s="16">
        <v>2.1999999999999999E-2</v>
      </c>
      <c r="F28" s="16">
        <v>2.8000000000000001E-2</v>
      </c>
      <c r="G28" s="16">
        <v>3.5999999999999997E-2</v>
      </c>
      <c r="H28" s="16">
        <v>4.5999999999999999E-2</v>
      </c>
    </row>
    <row r="29" spans="1:8" x14ac:dyDescent="0.3">
      <c r="A29" t="s">
        <v>60</v>
      </c>
      <c r="B29" s="5" t="s">
        <v>142</v>
      </c>
      <c r="C29" s="5" t="s">
        <v>40</v>
      </c>
      <c r="D29" s="16">
        <v>0.39700000000000002</v>
      </c>
      <c r="E29" s="16">
        <v>0.38700000000000001</v>
      </c>
      <c r="F29" s="16">
        <v>0.36099999999999999</v>
      </c>
      <c r="G29" s="16">
        <v>0.32500000000000001</v>
      </c>
      <c r="H29" s="16">
        <v>0.28599999999999998</v>
      </c>
    </row>
    <row r="30" spans="1:8" x14ac:dyDescent="0.3">
      <c r="A30" t="s">
        <v>60</v>
      </c>
      <c r="B30" s="5" t="s">
        <v>142</v>
      </c>
      <c r="C30" s="5" t="s">
        <v>42</v>
      </c>
      <c r="D30" s="16">
        <v>2.7E-2</v>
      </c>
      <c r="E30" s="16">
        <v>3.1E-2</v>
      </c>
      <c r="F30" s="16">
        <v>0.03</v>
      </c>
      <c r="G30" s="16">
        <v>3.7999999999999999E-2</v>
      </c>
      <c r="H30" s="16">
        <v>4.2999999999999997E-2</v>
      </c>
    </row>
    <row r="31" spans="1:8" x14ac:dyDescent="0.3">
      <c r="A31" t="s">
        <v>60</v>
      </c>
      <c r="B31" s="5" t="s">
        <v>142</v>
      </c>
      <c r="C31" s="5" t="s">
        <v>44</v>
      </c>
      <c r="D31" s="16">
        <v>7.9000000000000001E-2</v>
      </c>
      <c r="E31" s="16">
        <v>6.5000000000000002E-2</v>
      </c>
      <c r="F31" s="16">
        <v>5.7000000000000002E-2</v>
      </c>
      <c r="G31" s="16">
        <v>4.4999999999999998E-2</v>
      </c>
      <c r="H31" s="16">
        <v>3.7999999999999999E-2</v>
      </c>
    </row>
    <row r="32" spans="1:8" x14ac:dyDescent="0.3">
      <c r="A32" t="s">
        <v>60</v>
      </c>
      <c r="B32" s="5" t="s">
        <v>142</v>
      </c>
      <c r="C32" s="5" t="s">
        <v>46</v>
      </c>
      <c r="D32" s="16">
        <v>1.7000000000000001E-2</v>
      </c>
      <c r="E32" s="16">
        <v>3.6999999999999998E-2</v>
      </c>
      <c r="F32" s="16">
        <v>5.7000000000000002E-2</v>
      </c>
      <c r="G32" s="16">
        <v>7.8E-2</v>
      </c>
      <c r="H32" s="16">
        <v>9.1999999999999998E-2</v>
      </c>
    </row>
    <row r="33" spans="1:8" x14ac:dyDescent="0.3">
      <c r="A33" t="s">
        <v>60</v>
      </c>
      <c r="B33" s="5" t="s">
        <v>142</v>
      </c>
      <c r="C33" s="5" t="s">
        <v>48</v>
      </c>
      <c r="D33" s="16">
        <v>3.2000000000000001E-2</v>
      </c>
      <c r="E33" s="16">
        <v>3.6999999999999998E-2</v>
      </c>
      <c r="F33" s="16">
        <v>4.2999999999999997E-2</v>
      </c>
      <c r="G33" s="16">
        <v>4.5999999999999999E-2</v>
      </c>
      <c r="H33" s="16">
        <v>4.2000000000000003E-2</v>
      </c>
    </row>
    <row r="34" spans="1:8" x14ac:dyDescent="0.3">
      <c r="A34" t="s">
        <v>60</v>
      </c>
      <c r="B34" s="5" t="s">
        <v>142</v>
      </c>
      <c r="C34" s="5" t="s">
        <v>50</v>
      </c>
      <c r="D34" s="16">
        <v>0.02</v>
      </c>
      <c r="E34" s="16">
        <v>2.4E-2</v>
      </c>
      <c r="F34" s="16">
        <v>2.9000000000000001E-2</v>
      </c>
      <c r="G34" s="16">
        <v>4.2000000000000003E-2</v>
      </c>
      <c r="H34" s="16">
        <v>0.06</v>
      </c>
    </row>
    <row r="35" spans="1:8" x14ac:dyDescent="0.3">
      <c r="A35" t="s">
        <v>60</v>
      </c>
      <c r="B35" s="5" t="s">
        <v>142</v>
      </c>
      <c r="C35" s="5" t="s">
        <v>52</v>
      </c>
      <c r="D35" s="16">
        <v>0</v>
      </c>
      <c r="E35" s="16">
        <v>1E-3</v>
      </c>
      <c r="F35" s="16">
        <v>2E-3</v>
      </c>
      <c r="G35" s="16">
        <v>5.0000000000000001E-3</v>
      </c>
      <c r="H35" s="16">
        <v>8.0000000000000002E-3</v>
      </c>
    </row>
    <row r="36" spans="1:8" x14ac:dyDescent="0.3">
      <c r="A36" t="s">
        <v>60</v>
      </c>
      <c r="B36" s="5" t="s">
        <v>142</v>
      </c>
      <c r="C36" s="5" t="s">
        <v>54</v>
      </c>
      <c r="D36" s="16">
        <v>1.2E-2</v>
      </c>
      <c r="E36" s="16">
        <v>1.7999999999999999E-2</v>
      </c>
      <c r="F36" s="16">
        <v>2.7E-2</v>
      </c>
      <c r="G36" s="16">
        <v>4.2000000000000003E-2</v>
      </c>
      <c r="H36" s="16">
        <v>6.7000000000000004E-2</v>
      </c>
    </row>
    <row r="37" spans="1:8" x14ac:dyDescent="0.3">
      <c r="A37" t="s">
        <v>60</v>
      </c>
      <c r="B37" s="5" t="s">
        <v>142</v>
      </c>
      <c r="C37" s="5" t="s">
        <v>56</v>
      </c>
      <c r="D37" s="16">
        <v>2.5000000000000001E-2</v>
      </c>
      <c r="E37" s="16">
        <v>0.03</v>
      </c>
      <c r="F37" s="16">
        <v>3.3000000000000002E-2</v>
      </c>
      <c r="G37" s="16">
        <v>3.7999999999999999E-2</v>
      </c>
      <c r="H37" s="16">
        <v>0.05</v>
      </c>
    </row>
    <row r="38" spans="1:8" x14ac:dyDescent="0.3">
      <c r="A38" t="s">
        <v>61</v>
      </c>
      <c r="B38" s="5" t="s">
        <v>143</v>
      </c>
      <c r="C38" s="5" t="s">
        <v>34</v>
      </c>
      <c r="D38" s="16">
        <v>0.23676323676323677</v>
      </c>
      <c r="E38" s="16">
        <v>0.23176823176823177</v>
      </c>
      <c r="F38" s="16">
        <v>0.22677322677322678</v>
      </c>
      <c r="G38" s="16">
        <v>0.20779220779220781</v>
      </c>
      <c r="H38" s="16">
        <v>0.18681318681318682</v>
      </c>
    </row>
    <row r="39" spans="1:8" x14ac:dyDescent="0.3">
      <c r="A39" t="s">
        <v>61</v>
      </c>
      <c r="B39" s="5" t="s">
        <v>143</v>
      </c>
      <c r="C39" s="5" t="s">
        <v>36</v>
      </c>
      <c r="D39" s="16">
        <v>2.6973026973026972E-2</v>
      </c>
      <c r="E39" s="16">
        <v>3.3966033966033968E-2</v>
      </c>
      <c r="F39" s="16">
        <v>3.696303696303696E-2</v>
      </c>
      <c r="G39" s="16">
        <v>3.1968031968031968E-2</v>
      </c>
      <c r="H39" s="16">
        <v>2.6973026973026972E-2</v>
      </c>
    </row>
    <row r="40" spans="1:8" x14ac:dyDescent="0.3">
      <c r="A40" t="s">
        <v>61</v>
      </c>
      <c r="B40" s="5" t="s">
        <v>143</v>
      </c>
      <c r="C40" s="5" t="s">
        <v>38</v>
      </c>
      <c r="D40" s="16">
        <v>3.796203796203796E-2</v>
      </c>
      <c r="E40" s="16">
        <v>4.195804195804196E-2</v>
      </c>
      <c r="F40" s="16">
        <v>4.6953046953046952E-2</v>
      </c>
      <c r="G40" s="16">
        <v>5.8941058941058944E-2</v>
      </c>
      <c r="H40" s="16">
        <v>6.2937062937062943E-2</v>
      </c>
    </row>
    <row r="41" spans="1:8" x14ac:dyDescent="0.3">
      <c r="A41" t="s">
        <v>61</v>
      </c>
      <c r="B41" s="5" t="s">
        <v>143</v>
      </c>
      <c r="C41" s="5" t="s">
        <v>40</v>
      </c>
      <c r="D41" s="16">
        <v>0.33466533466533466</v>
      </c>
      <c r="E41" s="16">
        <v>0.28371628371628371</v>
      </c>
      <c r="F41" s="16">
        <v>0.23876123876123875</v>
      </c>
      <c r="G41" s="16">
        <v>0.19980019980019981</v>
      </c>
      <c r="H41" s="16">
        <v>0.16783216783216784</v>
      </c>
    </row>
    <row r="42" spans="1:8" x14ac:dyDescent="0.3">
      <c r="A42" t="s">
        <v>61</v>
      </c>
      <c r="B42" s="5" t="s">
        <v>143</v>
      </c>
      <c r="C42" s="5" t="s">
        <v>42</v>
      </c>
      <c r="D42" s="16">
        <v>4.7952047952047952E-2</v>
      </c>
      <c r="E42" s="16">
        <v>5.5944055944055944E-2</v>
      </c>
      <c r="F42" s="16">
        <v>5.7942057942057944E-2</v>
      </c>
      <c r="G42" s="16">
        <v>6.3936063936063936E-2</v>
      </c>
      <c r="H42" s="16">
        <v>7.3926073926073921E-2</v>
      </c>
    </row>
    <row r="43" spans="1:8" x14ac:dyDescent="0.3">
      <c r="A43" t="s">
        <v>61</v>
      </c>
      <c r="B43" s="5" t="s">
        <v>143</v>
      </c>
      <c r="C43" s="5" t="s">
        <v>44</v>
      </c>
      <c r="D43" s="16">
        <v>3.3966033966033968E-2</v>
      </c>
      <c r="E43" s="16">
        <v>3.0969030969030968E-2</v>
      </c>
      <c r="F43" s="16">
        <v>3.0969030969030968E-2</v>
      </c>
      <c r="G43" s="16">
        <v>2.2977022977022976E-2</v>
      </c>
      <c r="H43" s="16">
        <v>2.4975024975024976E-2</v>
      </c>
    </row>
    <row r="44" spans="1:8" x14ac:dyDescent="0.3">
      <c r="A44" t="s">
        <v>61</v>
      </c>
      <c r="B44" s="5" t="s">
        <v>143</v>
      </c>
      <c r="C44" s="5" t="s">
        <v>46</v>
      </c>
      <c r="D44" s="16">
        <v>4.5954045954045952E-2</v>
      </c>
      <c r="E44" s="16">
        <v>7.992007992007992E-2</v>
      </c>
      <c r="F44" s="16">
        <v>0.1038961038961039</v>
      </c>
      <c r="G44" s="16">
        <v>0.12387612387612387</v>
      </c>
      <c r="H44" s="16">
        <v>0.13686313686313686</v>
      </c>
    </row>
    <row r="45" spans="1:8" x14ac:dyDescent="0.3">
      <c r="A45" t="s">
        <v>61</v>
      </c>
      <c r="B45" s="5" t="s">
        <v>143</v>
      </c>
      <c r="C45" s="5" t="s">
        <v>48</v>
      </c>
      <c r="D45" s="16">
        <v>4.5954045954045952E-2</v>
      </c>
      <c r="E45" s="16">
        <v>4.7952047952047952E-2</v>
      </c>
      <c r="F45" s="16">
        <v>4.4955044955044952E-2</v>
      </c>
      <c r="G45" s="16">
        <v>4.5954045954045952E-2</v>
      </c>
      <c r="H45" s="16">
        <v>4.095904095904096E-2</v>
      </c>
    </row>
    <row r="46" spans="1:8" x14ac:dyDescent="0.3">
      <c r="A46" t="s">
        <v>61</v>
      </c>
      <c r="B46" s="5" t="s">
        <v>143</v>
      </c>
      <c r="C46" s="5" t="s">
        <v>50</v>
      </c>
      <c r="D46" s="16">
        <v>8.0919080919080913E-2</v>
      </c>
      <c r="E46" s="16">
        <v>8.191808191808192E-2</v>
      </c>
      <c r="F46" s="16">
        <v>9.3906093906093904E-2</v>
      </c>
      <c r="G46" s="16">
        <v>9.7902097902097904E-2</v>
      </c>
      <c r="H46" s="16">
        <v>0.11588411588411589</v>
      </c>
    </row>
    <row r="47" spans="1:8" x14ac:dyDescent="0.3">
      <c r="A47" t="s">
        <v>61</v>
      </c>
      <c r="B47" s="5" t="s">
        <v>143</v>
      </c>
      <c r="C47" s="5" t="s">
        <v>52</v>
      </c>
      <c r="D47" s="16">
        <v>1.998001998001998E-3</v>
      </c>
      <c r="E47" s="16">
        <v>2.997002997002997E-3</v>
      </c>
      <c r="F47" s="16">
        <v>2.997002997002997E-3</v>
      </c>
      <c r="G47" s="16">
        <v>6.993006993006993E-3</v>
      </c>
      <c r="H47" s="16">
        <v>9.99000999000999E-3</v>
      </c>
    </row>
    <row r="48" spans="1:8" x14ac:dyDescent="0.3">
      <c r="A48" t="s">
        <v>61</v>
      </c>
      <c r="B48" s="5" t="s">
        <v>143</v>
      </c>
      <c r="C48" s="5" t="s">
        <v>54</v>
      </c>
      <c r="D48" s="16">
        <v>3.996003996003996E-2</v>
      </c>
      <c r="E48" s="16">
        <v>4.095904095904096E-2</v>
      </c>
      <c r="F48" s="16">
        <v>4.5954045954045952E-2</v>
      </c>
      <c r="G48" s="16">
        <v>6.2937062937062943E-2</v>
      </c>
      <c r="H48" s="16">
        <v>7.792207792207792E-2</v>
      </c>
    </row>
    <row r="49" spans="1:8" x14ac:dyDescent="0.3">
      <c r="A49" t="s">
        <v>61</v>
      </c>
      <c r="B49" s="5" t="s">
        <v>143</v>
      </c>
      <c r="C49" s="5" t="s">
        <v>56</v>
      </c>
      <c r="D49" s="16">
        <v>6.6933066933066929E-2</v>
      </c>
      <c r="E49" s="16">
        <v>6.6933066933066929E-2</v>
      </c>
      <c r="F49" s="16">
        <v>6.9930069930069935E-2</v>
      </c>
      <c r="G49" s="16">
        <v>7.6923076923076927E-2</v>
      </c>
      <c r="H49" s="16">
        <v>7.4925074925074928E-2</v>
      </c>
    </row>
    <row r="50" spans="1:8" x14ac:dyDescent="0.3">
      <c r="A50" t="s">
        <v>62</v>
      </c>
      <c r="B50" s="5" t="s">
        <v>144</v>
      </c>
      <c r="C50" s="5" t="s">
        <v>34</v>
      </c>
      <c r="D50" s="16">
        <v>0.12275449101796407</v>
      </c>
      <c r="E50" s="16">
        <v>0.12075848303393213</v>
      </c>
      <c r="F50" s="16">
        <v>0.11776447105788423</v>
      </c>
      <c r="G50" s="16">
        <v>0.1277445109780439</v>
      </c>
      <c r="H50" s="16">
        <v>0.11477045908183632</v>
      </c>
    </row>
    <row r="51" spans="1:8" x14ac:dyDescent="0.3">
      <c r="A51" t="s">
        <v>62</v>
      </c>
      <c r="B51" s="5" t="s">
        <v>144</v>
      </c>
      <c r="C51" s="5" t="s">
        <v>36</v>
      </c>
      <c r="D51" s="16">
        <v>3.0938123752495009E-2</v>
      </c>
      <c r="E51" s="16">
        <v>2.5948103792415168E-2</v>
      </c>
      <c r="F51" s="16">
        <v>2.1956087824351298E-2</v>
      </c>
      <c r="G51" s="16">
        <v>2.2954091816367265E-2</v>
      </c>
      <c r="H51" s="16">
        <v>1.9960079840319361E-2</v>
      </c>
    </row>
    <row r="52" spans="1:8" x14ac:dyDescent="0.3">
      <c r="A52" t="s">
        <v>62</v>
      </c>
      <c r="B52" s="5" t="s">
        <v>144</v>
      </c>
      <c r="C52" s="5" t="s">
        <v>38</v>
      </c>
      <c r="D52" s="16">
        <v>3.9920159680638723E-2</v>
      </c>
      <c r="E52" s="16">
        <v>3.4930139720558882E-2</v>
      </c>
      <c r="F52" s="16">
        <v>3.6926147704590816E-2</v>
      </c>
      <c r="G52" s="16">
        <v>3.5928143712574849E-2</v>
      </c>
      <c r="H52" s="16">
        <v>4.8902195608782437E-2</v>
      </c>
    </row>
    <row r="53" spans="1:8" x14ac:dyDescent="0.3">
      <c r="A53" t="s">
        <v>62</v>
      </c>
      <c r="B53" s="5" t="s">
        <v>144</v>
      </c>
      <c r="C53" s="5" t="s">
        <v>40</v>
      </c>
      <c r="D53" s="16">
        <v>0.42514970059880242</v>
      </c>
      <c r="E53" s="16">
        <v>0.35528942115768464</v>
      </c>
      <c r="F53" s="16">
        <v>0.32135728542914171</v>
      </c>
      <c r="G53" s="16">
        <v>0.29540918163672653</v>
      </c>
      <c r="H53" s="16">
        <v>0.29441117764471059</v>
      </c>
    </row>
    <row r="54" spans="1:8" x14ac:dyDescent="0.3">
      <c r="A54" t="s">
        <v>62</v>
      </c>
      <c r="B54" s="5" t="s">
        <v>144</v>
      </c>
      <c r="C54" s="5" t="s">
        <v>42</v>
      </c>
      <c r="D54" s="16">
        <v>3.8922155688622756E-2</v>
      </c>
      <c r="E54" s="16">
        <v>6.1876247504990017E-2</v>
      </c>
      <c r="F54" s="16">
        <v>5.4890219560878244E-2</v>
      </c>
      <c r="G54" s="16">
        <v>5.8882235528942117E-2</v>
      </c>
      <c r="H54" s="16">
        <v>6.0878243512974051E-2</v>
      </c>
    </row>
    <row r="55" spans="1:8" x14ac:dyDescent="0.3">
      <c r="A55" t="s">
        <v>62</v>
      </c>
      <c r="B55" s="5" t="s">
        <v>144</v>
      </c>
      <c r="C55" s="5" t="s">
        <v>44</v>
      </c>
      <c r="D55" s="16">
        <v>3.0938123752495009E-2</v>
      </c>
      <c r="E55" s="16">
        <v>2.9940119760479042E-2</v>
      </c>
      <c r="F55" s="16">
        <v>2.7944111776447105E-2</v>
      </c>
      <c r="G55" s="16">
        <v>2.3952095808383235E-2</v>
      </c>
      <c r="H55" s="16">
        <v>1.6966067864271458E-2</v>
      </c>
    </row>
    <row r="56" spans="1:8" x14ac:dyDescent="0.3">
      <c r="A56" t="s">
        <v>62</v>
      </c>
      <c r="B56" s="5" t="s">
        <v>144</v>
      </c>
      <c r="C56" s="5" t="s">
        <v>46</v>
      </c>
      <c r="D56" s="16">
        <v>6.0878243512974051E-2</v>
      </c>
      <c r="E56" s="16">
        <v>0.12275449101796407</v>
      </c>
      <c r="F56" s="16">
        <v>0.13672654690618763</v>
      </c>
      <c r="G56" s="16">
        <v>0.14570858283433133</v>
      </c>
      <c r="H56" s="16">
        <v>0.1497005988023952</v>
      </c>
    </row>
    <row r="57" spans="1:8" x14ac:dyDescent="0.3">
      <c r="A57" t="s">
        <v>62</v>
      </c>
      <c r="B57" s="5" t="s">
        <v>144</v>
      </c>
      <c r="C57" s="5" t="s">
        <v>48</v>
      </c>
      <c r="D57" s="16">
        <v>3.2934131736526949E-2</v>
      </c>
      <c r="E57" s="16">
        <v>2.5948103792415168E-2</v>
      </c>
      <c r="F57" s="16">
        <v>2.6946107784431138E-2</v>
      </c>
      <c r="G57" s="16">
        <v>2.5948103792415168E-2</v>
      </c>
      <c r="H57" s="16">
        <v>2.0958083832335328E-2</v>
      </c>
    </row>
    <row r="58" spans="1:8" x14ac:dyDescent="0.3">
      <c r="A58" t="s">
        <v>62</v>
      </c>
      <c r="B58" s="5" t="s">
        <v>144</v>
      </c>
      <c r="C58" s="5" t="s">
        <v>50</v>
      </c>
      <c r="D58" s="16">
        <v>9.4810379241516959E-2</v>
      </c>
      <c r="E58" s="16">
        <v>9.880239520958084E-2</v>
      </c>
      <c r="F58" s="16">
        <v>0.10778443113772455</v>
      </c>
      <c r="G58" s="16">
        <v>9.1816367265469059E-2</v>
      </c>
      <c r="H58" s="16">
        <v>9.6806387225548907E-2</v>
      </c>
    </row>
    <row r="59" spans="1:8" x14ac:dyDescent="0.3">
      <c r="A59" t="s">
        <v>62</v>
      </c>
      <c r="B59" s="5" t="s">
        <v>144</v>
      </c>
      <c r="C59" s="5" t="s">
        <v>52</v>
      </c>
      <c r="D59" s="16">
        <v>9.9800399201596798E-4</v>
      </c>
      <c r="E59" s="16">
        <v>1.996007984031936E-3</v>
      </c>
      <c r="F59" s="16">
        <v>3.9920159680638719E-3</v>
      </c>
      <c r="G59" s="16">
        <v>4.9900199600798403E-3</v>
      </c>
      <c r="H59" s="16">
        <v>6.9860279441117763E-3</v>
      </c>
    </row>
    <row r="60" spans="1:8" x14ac:dyDescent="0.3">
      <c r="A60" t="s">
        <v>62</v>
      </c>
      <c r="B60" s="5" t="s">
        <v>144</v>
      </c>
      <c r="C60" s="5" t="s">
        <v>54</v>
      </c>
      <c r="D60" s="16">
        <v>4.590818363273453E-2</v>
      </c>
      <c r="E60" s="16">
        <v>3.3932135728542916E-2</v>
      </c>
      <c r="F60" s="16">
        <v>4.790419161676647E-2</v>
      </c>
      <c r="G60" s="16">
        <v>5.289421157684631E-2</v>
      </c>
      <c r="H60" s="16">
        <v>6.0878243512974051E-2</v>
      </c>
    </row>
    <row r="61" spans="1:8" x14ac:dyDescent="0.3">
      <c r="A61" t="s">
        <v>62</v>
      </c>
      <c r="B61" s="5" t="s">
        <v>144</v>
      </c>
      <c r="C61" s="5" t="s">
        <v>56</v>
      </c>
      <c r="D61" s="16">
        <v>7.5848303393213579E-2</v>
      </c>
      <c r="E61" s="16">
        <v>8.5828343313373259E-2</v>
      </c>
      <c r="F61" s="16">
        <v>9.6806387225548907E-2</v>
      </c>
      <c r="G61" s="16">
        <v>0.11177644710578842</v>
      </c>
      <c r="H61" s="16">
        <v>0.10678642714570859</v>
      </c>
    </row>
    <row r="62" spans="1:8" x14ac:dyDescent="0.3">
      <c r="A62" t="s">
        <v>63</v>
      </c>
      <c r="B62" s="5" t="s">
        <v>145</v>
      </c>
      <c r="C62" s="5" t="s">
        <v>34</v>
      </c>
      <c r="D62" s="16">
        <v>0.14599999999999999</v>
      </c>
      <c r="E62" s="16">
        <v>0.13</v>
      </c>
      <c r="F62" s="16">
        <v>0.122</v>
      </c>
      <c r="G62" s="16">
        <v>0.11700000000000001</v>
      </c>
      <c r="H62" s="16">
        <v>0.1</v>
      </c>
    </row>
    <row r="63" spans="1:8" x14ac:dyDescent="0.3">
      <c r="A63" t="s">
        <v>63</v>
      </c>
      <c r="B63" s="5" t="s">
        <v>145</v>
      </c>
      <c r="C63" s="5" t="s">
        <v>36</v>
      </c>
      <c r="D63" s="16">
        <v>2.1999999999999999E-2</v>
      </c>
      <c r="E63" s="16">
        <v>1.9E-2</v>
      </c>
      <c r="F63" s="16">
        <v>1.7999999999999999E-2</v>
      </c>
      <c r="G63" s="16">
        <v>1.6E-2</v>
      </c>
      <c r="H63" s="16">
        <v>1.2999999999999999E-2</v>
      </c>
    </row>
    <row r="64" spans="1:8" x14ac:dyDescent="0.3">
      <c r="A64" t="s">
        <v>63</v>
      </c>
      <c r="B64" s="5" t="s">
        <v>145</v>
      </c>
      <c r="C64" s="5" t="s">
        <v>38</v>
      </c>
      <c r="D64" s="16">
        <v>3.7999999999999999E-2</v>
      </c>
      <c r="E64" s="16">
        <v>4.2000000000000003E-2</v>
      </c>
      <c r="F64" s="16">
        <v>4.3999999999999997E-2</v>
      </c>
      <c r="G64" s="16">
        <v>4.7E-2</v>
      </c>
      <c r="H64" s="16">
        <v>5.1999999999999998E-2</v>
      </c>
    </row>
    <row r="65" spans="1:8" x14ac:dyDescent="0.3">
      <c r="A65" t="s">
        <v>63</v>
      </c>
      <c r="B65" s="5" t="s">
        <v>145</v>
      </c>
      <c r="C65" s="5" t="s">
        <v>40</v>
      </c>
      <c r="D65" s="16">
        <v>0.43099999999999999</v>
      </c>
      <c r="E65" s="16">
        <v>0.372</v>
      </c>
      <c r="F65" s="16">
        <v>0.34399999999999997</v>
      </c>
      <c r="G65" s="16">
        <v>0.318</v>
      </c>
      <c r="H65" s="16">
        <v>0.27100000000000002</v>
      </c>
    </row>
    <row r="66" spans="1:8" x14ac:dyDescent="0.3">
      <c r="A66" t="s">
        <v>63</v>
      </c>
      <c r="B66" s="5" t="s">
        <v>145</v>
      </c>
      <c r="C66" s="5" t="s">
        <v>42</v>
      </c>
      <c r="D66" s="16">
        <v>3.2000000000000001E-2</v>
      </c>
      <c r="E66" s="16">
        <v>4.1000000000000002E-2</v>
      </c>
      <c r="F66" s="16">
        <v>4.7E-2</v>
      </c>
      <c r="G66" s="16">
        <v>4.9000000000000002E-2</v>
      </c>
      <c r="H66" s="16">
        <v>5.5E-2</v>
      </c>
    </row>
    <row r="67" spans="1:8" x14ac:dyDescent="0.3">
      <c r="A67" t="s">
        <v>63</v>
      </c>
      <c r="B67" s="5" t="s">
        <v>145</v>
      </c>
      <c r="C67" s="5" t="s">
        <v>44</v>
      </c>
      <c r="D67" s="16">
        <v>2.7E-2</v>
      </c>
      <c r="E67" s="16">
        <v>2.8000000000000001E-2</v>
      </c>
      <c r="F67" s="16">
        <v>3.5000000000000003E-2</v>
      </c>
      <c r="G67" s="16">
        <v>3.7999999999999999E-2</v>
      </c>
      <c r="H67" s="16">
        <v>5.1999999999999998E-2</v>
      </c>
    </row>
    <row r="68" spans="1:8" x14ac:dyDescent="0.3">
      <c r="A68" t="s">
        <v>63</v>
      </c>
      <c r="B68" s="5" t="s">
        <v>145</v>
      </c>
      <c r="C68" s="5" t="s">
        <v>46</v>
      </c>
      <c r="D68" s="16">
        <v>7.2999999999999995E-2</v>
      </c>
      <c r="E68" s="16">
        <v>0.105</v>
      </c>
      <c r="F68" s="16">
        <v>0.11799999999999999</v>
      </c>
      <c r="G68" s="16">
        <v>0.13800000000000001</v>
      </c>
      <c r="H68" s="16">
        <v>0.16500000000000001</v>
      </c>
    </row>
    <row r="69" spans="1:8" x14ac:dyDescent="0.3">
      <c r="A69" t="s">
        <v>63</v>
      </c>
      <c r="B69" s="5" t="s">
        <v>145</v>
      </c>
      <c r="C69" s="5" t="s">
        <v>48</v>
      </c>
      <c r="D69" s="16">
        <v>3.7999999999999999E-2</v>
      </c>
      <c r="E69" s="16">
        <v>3.2000000000000001E-2</v>
      </c>
      <c r="F69" s="16">
        <v>2.8000000000000001E-2</v>
      </c>
      <c r="G69" s="16">
        <v>2.5000000000000001E-2</v>
      </c>
      <c r="H69" s="16">
        <v>0.02</v>
      </c>
    </row>
    <row r="70" spans="1:8" x14ac:dyDescent="0.3">
      <c r="A70" t="s">
        <v>63</v>
      </c>
      <c r="B70" s="5" t="s">
        <v>145</v>
      </c>
      <c r="C70" s="5" t="s">
        <v>50</v>
      </c>
      <c r="D70" s="16">
        <v>8.2000000000000003E-2</v>
      </c>
      <c r="E70" s="16">
        <v>9.8000000000000004E-2</v>
      </c>
      <c r="F70" s="16">
        <v>0.10100000000000001</v>
      </c>
      <c r="G70" s="16">
        <v>0.10199999999999999</v>
      </c>
      <c r="H70" s="16">
        <v>0.111</v>
      </c>
    </row>
    <row r="71" spans="1:8" x14ac:dyDescent="0.3">
      <c r="A71" t="s">
        <v>63</v>
      </c>
      <c r="B71" s="5" t="s">
        <v>145</v>
      </c>
      <c r="C71" s="5" t="s">
        <v>52</v>
      </c>
      <c r="D71" s="16">
        <v>6.0000000000000001E-3</v>
      </c>
      <c r="E71" s="16">
        <v>6.0000000000000001E-3</v>
      </c>
      <c r="F71" s="16">
        <v>7.0000000000000001E-3</v>
      </c>
      <c r="G71" s="16">
        <v>8.9999999999999993E-3</v>
      </c>
      <c r="H71" s="16">
        <v>0.01</v>
      </c>
    </row>
    <row r="72" spans="1:8" x14ac:dyDescent="0.3">
      <c r="A72" t="s">
        <v>63</v>
      </c>
      <c r="B72" s="5" t="s">
        <v>145</v>
      </c>
      <c r="C72" s="5" t="s">
        <v>54</v>
      </c>
      <c r="D72" s="16">
        <v>3.5000000000000003E-2</v>
      </c>
      <c r="E72" s="16">
        <v>4.2000000000000003E-2</v>
      </c>
      <c r="F72" s="16">
        <v>4.8000000000000001E-2</v>
      </c>
      <c r="G72" s="16">
        <v>5.0999999999999997E-2</v>
      </c>
      <c r="H72" s="16">
        <v>0.06</v>
      </c>
    </row>
    <row r="73" spans="1:8" x14ac:dyDescent="0.3">
      <c r="A73" t="s">
        <v>63</v>
      </c>
      <c r="B73" s="5" t="s">
        <v>145</v>
      </c>
      <c r="C73" s="5" t="s">
        <v>56</v>
      </c>
      <c r="D73" s="16">
        <v>7.0000000000000007E-2</v>
      </c>
      <c r="E73" s="16">
        <v>8.3000000000000004E-2</v>
      </c>
      <c r="F73" s="16">
        <v>8.7999999999999995E-2</v>
      </c>
      <c r="G73" s="16">
        <v>0.09</v>
      </c>
      <c r="H73" s="16">
        <v>0.09</v>
      </c>
    </row>
    <row r="74" spans="1:8" x14ac:dyDescent="0.3">
      <c r="A74" t="s">
        <v>64</v>
      </c>
      <c r="B74" s="5" t="s">
        <v>146</v>
      </c>
      <c r="C74" s="5" t="s">
        <v>34</v>
      </c>
      <c r="D74" s="16">
        <v>0.315</v>
      </c>
      <c r="E74" s="16">
        <v>0.28000000000000003</v>
      </c>
      <c r="F74" s="16">
        <v>0.23899999999999999</v>
      </c>
      <c r="G74" s="16">
        <v>0.19900000000000001</v>
      </c>
      <c r="H74" s="16">
        <v>0.154</v>
      </c>
    </row>
    <row r="75" spans="1:8" x14ac:dyDescent="0.3">
      <c r="A75" t="s">
        <v>64</v>
      </c>
      <c r="B75" s="5" t="s">
        <v>146</v>
      </c>
      <c r="C75" s="5" t="s">
        <v>36</v>
      </c>
      <c r="D75" s="16">
        <v>3.2000000000000001E-2</v>
      </c>
      <c r="E75" s="16">
        <v>4.4999999999999998E-2</v>
      </c>
      <c r="F75" s="16">
        <v>4.1000000000000002E-2</v>
      </c>
      <c r="G75" s="16">
        <v>3.1E-2</v>
      </c>
      <c r="H75" s="16">
        <v>2.5000000000000001E-2</v>
      </c>
    </row>
    <row r="76" spans="1:8" x14ac:dyDescent="0.3">
      <c r="A76" t="s">
        <v>64</v>
      </c>
      <c r="B76" s="5" t="s">
        <v>146</v>
      </c>
      <c r="C76" s="5" t="s">
        <v>38</v>
      </c>
      <c r="D76" s="16">
        <v>3.3000000000000002E-2</v>
      </c>
      <c r="E76" s="16">
        <v>3.2000000000000001E-2</v>
      </c>
      <c r="F76" s="16">
        <v>5.7000000000000002E-2</v>
      </c>
      <c r="G76" s="16">
        <v>4.8000000000000001E-2</v>
      </c>
      <c r="H76" s="16">
        <v>4.9000000000000002E-2</v>
      </c>
    </row>
    <row r="77" spans="1:8" x14ac:dyDescent="0.3">
      <c r="A77" t="s">
        <v>64</v>
      </c>
      <c r="B77" s="5" t="s">
        <v>146</v>
      </c>
      <c r="C77" s="5" t="s">
        <v>40</v>
      </c>
      <c r="D77" s="16">
        <v>0.27600000000000002</v>
      </c>
      <c r="E77" s="16">
        <v>0.253</v>
      </c>
      <c r="F77" s="16">
        <v>0.23200000000000001</v>
      </c>
      <c r="G77" s="16">
        <v>0.25700000000000001</v>
      </c>
      <c r="H77" s="16">
        <v>0.30499999999999999</v>
      </c>
    </row>
    <row r="78" spans="1:8" x14ac:dyDescent="0.3">
      <c r="A78" t="s">
        <v>64</v>
      </c>
      <c r="B78" s="5" t="s">
        <v>146</v>
      </c>
      <c r="C78" s="5" t="s">
        <v>42</v>
      </c>
      <c r="D78" s="16">
        <v>5.8000000000000003E-2</v>
      </c>
      <c r="E78" s="16">
        <v>5.5E-2</v>
      </c>
      <c r="F78" s="16">
        <v>5.6000000000000001E-2</v>
      </c>
      <c r="G78" s="16">
        <v>5.8999999999999997E-2</v>
      </c>
      <c r="H78" s="16">
        <v>6.2E-2</v>
      </c>
    </row>
    <row r="79" spans="1:8" x14ac:dyDescent="0.3">
      <c r="A79" t="s">
        <v>64</v>
      </c>
      <c r="B79" s="5" t="s">
        <v>146</v>
      </c>
      <c r="C79" s="5" t="s">
        <v>44</v>
      </c>
      <c r="D79" s="16">
        <v>7.6999999999999999E-2</v>
      </c>
      <c r="E79" s="16">
        <v>5.3999999999999999E-2</v>
      </c>
      <c r="F79" s="16">
        <v>3.9E-2</v>
      </c>
      <c r="G79" s="16">
        <v>3.1E-2</v>
      </c>
      <c r="H79" s="16">
        <v>0.03</v>
      </c>
    </row>
    <row r="80" spans="1:8" x14ac:dyDescent="0.3">
      <c r="A80" t="s">
        <v>64</v>
      </c>
      <c r="B80" s="5" t="s">
        <v>146</v>
      </c>
      <c r="C80" s="5" t="s">
        <v>46</v>
      </c>
      <c r="D80" s="16">
        <v>3.5999999999999997E-2</v>
      </c>
      <c r="E80" s="16">
        <v>8.3000000000000004E-2</v>
      </c>
      <c r="F80" s="16">
        <v>0.114</v>
      </c>
      <c r="G80" s="16">
        <v>0.13700000000000001</v>
      </c>
      <c r="H80" s="16">
        <v>0.125</v>
      </c>
    </row>
    <row r="81" spans="1:8" x14ac:dyDescent="0.3">
      <c r="A81" t="s">
        <v>64</v>
      </c>
      <c r="B81" s="5" t="s">
        <v>146</v>
      </c>
      <c r="C81" s="5" t="s">
        <v>48</v>
      </c>
      <c r="D81" s="16">
        <v>0.05</v>
      </c>
      <c r="E81" s="16">
        <v>4.9000000000000002E-2</v>
      </c>
      <c r="F81" s="16">
        <v>4.4999999999999998E-2</v>
      </c>
      <c r="G81" s="16">
        <v>4.1000000000000002E-2</v>
      </c>
      <c r="H81" s="16">
        <v>3.5000000000000003E-2</v>
      </c>
    </row>
    <row r="82" spans="1:8" x14ac:dyDescent="0.3">
      <c r="A82" t="s">
        <v>64</v>
      </c>
      <c r="B82" s="5" t="s">
        <v>146</v>
      </c>
      <c r="C82" s="5" t="s">
        <v>50</v>
      </c>
      <c r="D82" s="16">
        <v>7.4999999999999997E-2</v>
      </c>
      <c r="E82" s="16">
        <v>7.4999999999999997E-2</v>
      </c>
      <c r="F82" s="16">
        <v>9.0999999999999998E-2</v>
      </c>
      <c r="G82" s="16">
        <v>9.7000000000000003E-2</v>
      </c>
      <c r="H82" s="16">
        <v>0.106</v>
      </c>
    </row>
    <row r="83" spans="1:8" x14ac:dyDescent="0.3">
      <c r="A83" t="s">
        <v>64</v>
      </c>
      <c r="B83" s="5" t="s">
        <v>146</v>
      </c>
      <c r="C83" s="5" t="s">
        <v>52</v>
      </c>
      <c r="D83" s="16">
        <v>2E-3</v>
      </c>
      <c r="E83" s="16">
        <v>6.0000000000000001E-3</v>
      </c>
      <c r="F83" s="16">
        <v>8.9999999999999993E-3</v>
      </c>
      <c r="G83" s="16">
        <v>1.4999999999999999E-2</v>
      </c>
      <c r="H83" s="16">
        <v>1.4E-2</v>
      </c>
    </row>
    <row r="84" spans="1:8" x14ac:dyDescent="0.3">
      <c r="A84" t="s">
        <v>64</v>
      </c>
      <c r="B84" s="5" t="s">
        <v>146</v>
      </c>
      <c r="C84" s="5" t="s">
        <v>54</v>
      </c>
      <c r="D84" s="16">
        <v>1.0999999999999999E-2</v>
      </c>
      <c r="E84" s="16">
        <v>2.1000000000000001E-2</v>
      </c>
      <c r="F84" s="16">
        <v>2.9000000000000001E-2</v>
      </c>
      <c r="G84" s="16">
        <v>3.7999999999999999E-2</v>
      </c>
      <c r="H84" s="16">
        <v>0.05</v>
      </c>
    </row>
    <row r="85" spans="1:8" x14ac:dyDescent="0.3">
      <c r="A85" t="s">
        <v>64</v>
      </c>
      <c r="B85" s="5" t="s">
        <v>146</v>
      </c>
      <c r="C85" s="5" t="s">
        <v>56</v>
      </c>
      <c r="D85" s="16">
        <v>3.5000000000000003E-2</v>
      </c>
      <c r="E85" s="16">
        <v>4.9000000000000002E-2</v>
      </c>
      <c r="F85" s="16">
        <v>4.7E-2</v>
      </c>
      <c r="G85" s="16">
        <v>4.8000000000000001E-2</v>
      </c>
      <c r="H85" s="16">
        <v>4.4999999999999998E-2</v>
      </c>
    </row>
    <row r="86" spans="1:8" x14ac:dyDescent="0.3">
      <c r="A86" t="s">
        <v>65</v>
      </c>
      <c r="B86" s="5" t="s">
        <v>147</v>
      </c>
      <c r="C86" s="5" t="s">
        <v>34</v>
      </c>
      <c r="D86" s="16">
        <v>0.13672654690618763</v>
      </c>
      <c r="E86" s="16">
        <v>0.13273453093812376</v>
      </c>
      <c r="F86" s="16">
        <v>0.11776447105788423</v>
      </c>
      <c r="G86" s="16">
        <v>0.11177644710578842</v>
      </c>
      <c r="H86" s="16">
        <v>0.10079840319361277</v>
      </c>
    </row>
    <row r="87" spans="1:8" x14ac:dyDescent="0.3">
      <c r="A87" t="s">
        <v>65</v>
      </c>
      <c r="B87" s="5" t="s">
        <v>147</v>
      </c>
      <c r="C87" s="5" t="s">
        <v>36</v>
      </c>
      <c r="D87" s="16">
        <v>3.2934131736526949E-2</v>
      </c>
      <c r="E87" s="16">
        <v>2.5948103792415168E-2</v>
      </c>
      <c r="F87" s="16">
        <v>2.4950099800399202E-2</v>
      </c>
      <c r="G87" s="16">
        <v>2.0958083832335328E-2</v>
      </c>
      <c r="H87" s="16">
        <v>1.7964071856287425E-2</v>
      </c>
    </row>
    <row r="88" spans="1:8" x14ac:dyDescent="0.3">
      <c r="A88" t="s">
        <v>65</v>
      </c>
      <c r="B88" s="5" t="s">
        <v>147</v>
      </c>
      <c r="C88" s="5" t="s">
        <v>38</v>
      </c>
      <c r="D88" s="16">
        <v>3.0938123752495009E-2</v>
      </c>
      <c r="E88" s="16">
        <v>3.8922155688622756E-2</v>
      </c>
      <c r="F88" s="16">
        <v>4.1916167664670656E-2</v>
      </c>
      <c r="G88" s="16">
        <v>4.590818363273453E-2</v>
      </c>
      <c r="H88" s="16">
        <v>4.6906187624750496E-2</v>
      </c>
    </row>
    <row r="89" spans="1:8" x14ac:dyDescent="0.3">
      <c r="A89" t="s">
        <v>65</v>
      </c>
      <c r="B89" s="5" t="s">
        <v>147</v>
      </c>
      <c r="C89" s="5" t="s">
        <v>40</v>
      </c>
      <c r="D89" s="16">
        <v>0.40618762475049902</v>
      </c>
      <c r="E89" s="16">
        <v>0.36427145708582837</v>
      </c>
      <c r="F89" s="16">
        <v>0.3413173652694611</v>
      </c>
      <c r="G89" s="16">
        <v>0.30139720558882238</v>
      </c>
      <c r="H89" s="16">
        <v>0.26546906187624753</v>
      </c>
    </row>
    <row r="90" spans="1:8" x14ac:dyDescent="0.3">
      <c r="A90" t="s">
        <v>65</v>
      </c>
      <c r="B90" s="5" t="s">
        <v>147</v>
      </c>
      <c r="C90" s="5" t="s">
        <v>42</v>
      </c>
      <c r="D90" s="16">
        <v>3.2934131736526949E-2</v>
      </c>
      <c r="E90" s="16">
        <v>3.3932135728542916E-2</v>
      </c>
      <c r="F90" s="16">
        <v>3.7924151696606789E-2</v>
      </c>
      <c r="G90" s="16">
        <v>3.4930139720558882E-2</v>
      </c>
      <c r="H90" s="16">
        <v>4.0918163672654689E-2</v>
      </c>
    </row>
    <row r="91" spans="1:8" x14ac:dyDescent="0.3">
      <c r="A91" t="s">
        <v>65</v>
      </c>
      <c r="B91" s="5" t="s">
        <v>147</v>
      </c>
      <c r="C91" s="5" t="s">
        <v>44</v>
      </c>
      <c r="D91" s="16">
        <v>1.7964071856287425E-2</v>
      </c>
      <c r="E91" s="16">
        <v>2.0958083832335328E-2</v>
      </c>
      <c r="F91" s="16">
        <v>2.0958083832335328E-2</v>
      </c>
      <c r="G91" s="16">
        <v>2.3952095808383235E-2</v>
      </c>
      <c r="H91" s="16">
        <v>2.6946107784431138E-2</v>
      </c>
    </row>
    <row r="92" spans="1:8" x14ac:dyDescent="0.3">
      <c r="A92" t="s">
        <v>65</v>
      </c>
      <c r="B92" s="5" t="s">
        <v>147</v>
      </c>
      <c r="C92" s="5" t="s">
        <v>46</v>
      </c>
      <c r="D92" s="16">
        <v>8.1836327345309379E-2</v>
      </c>
      <c r="E92" s="16">
        <v>0.11477045908183632</v>
      </c>
      <c r="F92" s="16">
        <v>0.12375249500998003</v>
      </c>
      <c r="G92" s="16">
        <v>0.13872255489021956</v>
      </c>
      <c r="H92" s="16">
        <v>0.1437125748502994</v>
      </c>
    </row>
    <row r="93" spans="1:8" x14ac:dyDescent="0.3">
      <c r="A93" t="s">
        <v>65</v>
      </c>
      <c r="B93" s="5" t="s">
        <v>147</v>
      </c>
      <c r="C93" s="5" t="s">
        <v>48</v>
      </c>
      <c r="D93" s="16">
        <v>4.590818363273453E-2</v>
      </c>
      <c r="E93" s="16">
        <v>4.291417165668663E-2</v>
      </c>
      <c r="F93" s="16">
        <v>4.0918163672654689E-2</v>
      </c>
      <c r="G93" s="16">
        <v>3.7924151696606789E-2</v>
      </c>
      <c r="H93" s="16">
        <v>3.2934131736526949E-2</v>
      </c>
    </row>
    <row r="94" spans="1:8" x14ac:dyDescent="0.3">
      <c r="A94" t="s">
        <v>65</v>
      </c>
      <c r="B94" s="5" t="s">
        <v>147</v>
      </c>
      <c r="C94" s="5" t="s">
        <v>50</v>
      </c>
      <c r="D94" s="16">
        <v>6.6866267465069865E-2</v>
      </c>
      <c r="E94" s="16">
        <v>7.7844311377245512E-2</v>
      </c>
      <c r="F94" s="16">
        <v>7.8842315369261479E-2</v>
      </c>
      <c r="G94" s="16">
        <v>8.2834331337325345E-2</v>
      </c>
      <c r="H94" s="16">
        <v>9.1816367265469059E-2</v>
      </c>
    </row>
    <row r="95" spans="1:8" x14ac:dyDescent="0.3">
      <c r="A95" t="s">
        <v>65</v>
      </c>
      <c r="B95" s="5" t="s">
        <v>147</v>
      </c>
      <c r="C95" s="5" t="s">
        <v>52</v>
      </c>
      <c r="D95" s="16">
        <v>3.0938123752495009E-2</v>
      </c>
      <c r="E95" s="16">
        <v>1.7964071856287425E-2</v>
      </c>
      <c r="F95" s="16">
        <v>1.5968063872255488E-2</v>
      </c>
      <c r="G95" s="16">
        <v>2.0958083832335328E-2</v>
      </c>
      <c r="H95" s="16">
        <v>2.7944111776447105E-2</v>
      </c>
    </row>
    <row r="96" spans="1:8" x14ac:dyDescent="0.3">
      <c r="A96" t="s">
        <v>65</v>
      </c>
      <c r="B96" s="5" t="s">
        <v>147</v>
      </c>
      <c r="C96" s="5" t="s">
        <v>54</v>
      </c>
      <c r="D96" s="16">
        <v>4.590818363273453E-2</v>
      </c>
      <c r="E96" s="16">
        <v>4.590818363273453E-2</v>
      </c>
      <c r="F96" s="16">
        <v>5.8882235528942117E-2</v>
      </c>
      <c r="G96" s="16">
        <v>6.8862275449101798E-2</v>
      </c>
      <c r="H96" s="16">
        <v>7.4850299401197598E-2</v>
      </c>
    </row>
    <row r="97" spans="1:8" x14ac:dyDescent="0.3">
      <c r="A97" t="s">
        <v>65</v>
      </c>
      <c r="B97" s="5" t="s">
        <v>147</v>
      </c>
      <c r="C97" s="5" t="s">
        <v>56</v>
      </c>
      <c r="D97" s="16">
        <v>7.0858283433133731E-2</v>
      </c>
      <c r="E97" s="16">
        <v>8.2834331337325345E-2</v>
      </c>
      <c r="F97" s="16">
        <v>9.4810379241516959E-2</v>
      </c>
      <c r="G97" s="16">
        <v>0.10978043912175649</v>
      </c>
      <c r="H97" s="16">
        <v>0.12674650698602793</v>
      </c>
    </row>
    <row r="98" spans="1:8" x14ac:dyDescent="0.3">
      <c r="A98" t="s">
        <v>66</v>
      </c>
      <c r="B98" s="5" t="s">
        <v>175</v>
      </c>
      <c r="C98" s="5" t="s">
        <v>34</v>
      </c>
      <c r="D98" s="16">
        <v>0.22500000000000001</v>
      </c>
      <c r="E98" s="16">
        <v>0.216</v>
      </c>
      <c r="F98" s="16">
        <v>0.20699999999999999</v>
      </c>
      <c r="G98" s="16">
        <v>0.188</v>
      </c>
      <c r="H98" s="16">
        <v>0.155</v>
      </c>
    </row>
    <row r="99" spans="1:8" x14ac:dyDescent="0.3">
      <c r="A99" t="s">
        <v>66</v>
      </c>
      <c r="B99" s="5" t="s">
        <v>175</v>
      </c>
      <c r="C99" s="5" t="s">
        <v>36</v>
      </c>
      <c r="D99" s="16">
        <v>4.2999999999999997E-2</v>
      </c>
      <c r="E99" s="16">
        <v>3.5999999999999997E-2</v>
      </c>
      <c r="F99" s="16">
        <v>3.5999999999999997E-2</v>
      </c>
      <c r="G99" s="16">
        <v>3.6999999999999998E-2</v>
      </c>
      <c r="H99" s="16">
        <v>0.03</v>
      </c>
    </row>
    <row r="100" spans="1:8" x14ac:dyDescent="0.3">
      <c r="A100" t="s">
        <v>66</v>
      </c>
      <c r="B100" s="5" t="s">
        <v>175</v>
      </c>
      <c r="C100" s="5" t="s">
        <v>38</v>
      </c>
      <c r="D100" s="16">
        <v>3.5999999999999997E-2</v>
      </c>
      <c r="E100" s="16">
        <v>3.6999999999999998E-2</v>
      </c>
      <c r="F100" s="16">
        <v>4.3999999999999997E-2</v>
      </c>
      <c r="G100" s="16">
        <v>5.0999999999999997E-2</v>
      </c>
      <c r="H100" s="16">
        <v>5.8000000000000003E-2</v>
      </c>
    </row>
    <row r="101" spans="1:8" x14ac:dyDescent="0.3">
      <c r="A101" t="s">
        <v>66</v>
      </c>
      <c r="B101" s="5" t="s">
        <v>175</v>
      </c>
      <c r="C101" s="5" t="s">
        <v>40</v>
      </c>
      <c r="D101" s="16">
        <v>0.33900000000000002</v>
      </c>
      <c r="E101" s="16">
        <v>0.32900000000000001</v>
      </c>
      <c r="F101" s="16">
        <v>0.29499999999999998</v>
      </c>
      <c r="G101" s="16">
        <v>0.27100000000000002</v>
      </c>
      <c r="H101" s="16">
        <v>0.24099999999999999</v>
      </c>
    </row>
    <row r="102" spans="1:8" x14ac:dyDescent="0.3">
      <c r="A102" t="s">
        <v>66</v>
      </c>
      <c r="B102" s="5" t="s">
        <v>175</v>
      </c>
      <c r="C102" s="5" t="s">
        <v>42</v>
      </c>
      <c r="D102" s="16">
        <v>2.9000000000000001E-2</v>
      </c>
      <c r="E102" s="16">
        <v>3.9E-2</v>
      </c>
      <c r="F102" s="16">
        <v>4.1000000000000002E-2</v>
      </c>
      <c r="G102" s="16">
        <v>3.5999999999999997E-2</v>
      </c>
      <c r="H102" s="16">
        <v>4.3999999999999997E-2</v>
      </c>
    </row>
    <row r="103" spans="1:8" x14ac:dyDescent="0.3">
      <c r="A103" t="s">
        <v>66</v>
      </c>
      <c r="B103" s="5" t="s">
        <v>175</v>
      </c>
      <c r="C103" s="5" t="s">
        <v>44</v>
      </c>
      <c r="D103" s="16">
        <v>6.5000000000000002E-2</v>
      </c>
      <c r="E103" s="16">
        <v>7.1999999999999995E-2</v>
      </c>
      <c r="F103" s="16">
        <v>6.8000000000000005E-2</v>
      </c>
      <c r="G103" s="16">
        <v>6.3E-2</v>
      </c>
      <c r="H103" s="16">
        <v>5.8999999999999997E-2</v>
      </c>
    </row>
    <row r="104" spans="1:8" x14ac:dyDescent="0.3">
      <c r="A104" t="s">
        <v>66</v>
      </c>
      <c r="B104" s="5" t="s">
        <v>175</v>
      </c>
      <c r="C104" s="5" t="s">
        <v>46</v>
      </c>
      <c r="D104" s="16">
        <v>5.5E-2</v>
      </c>
      <c r="E104" s="16">
        <v>7.0999999999999994E-2</v>
      </c>
      <c r="F104" s="16">
        <v>8.3000000000000004E-2</v>
      </c>
      <c r="G104" s="16">
        <v>0.10100000000000001</v>
      </c>
      <c r="H104" s="16">
        <v>0.125</v>
      </c>
    </row>
    <row r="105" spans="1:8" x14ac:dyDescent="0.3">
      <c r="A105" t="s">
        <v>66</v>
      </c>
      <c r="B105" s="5" t="s">
        <v>175</v>
      </c>
      <c r="C105" s="5" t="s">
        <v>48</v>
      </c>
      <c r="D105" s="16">
        <v>3.5999999999999997E-2</v>
      </c>
      <c r="E105" s="16">
        <v>3.5999999999999997E-2</v>
      </c>
      <c r="F105" s="16">
        <v>3.6999999999999998E-2</v>
      </c>
      <c r="G105" s="16">
        <v>3.7999999999999999E-2</v>
      </c>
      <c r="H105" s="16">
        <v>3.2000000000000001E-2</v>
      </c>
    </row>
    <row r="106" spans="1:8" x14ac:dyDescent="0.3">
      <c r="A106" t="s">
        <v>66</v>
      </c>
      <c r="B106" s="5" t="s">
        <v>175</v>
      </c>
      <c r="C106" s="5" t="s">
        <v>50</v>
      </c>
      <c r="D106" s="16">
        <v>2.5000000000000001E-2</v>
      </c>
      <c r="E106" s="16">
        <v>2.5000000000000001E-2</v>
      </c>
      <c r="F106" s="16">
        <v>3.5000000000000003E-2</v>
      </c>
      <c r="G106" s="16">
        <v>0.04</v>
      </c>
      <c r="H106" s="16">
        <v>5.2999999999999999E-2</v>
      </c>
    </row>
    <row r="107" spans="1:8" x14ac:dyDescent="0.3">
      <c r="A107" t="s">
        <v>66</v>
      </c>
      <c r="B107" s="5" t="s">
        <v>175</v>
      </c>
      <c r="C107" s="5" t="s">
        <v>52</v>
      </c>
      <c r="D107" s="16">
        <v>1.2999999999999999E-2</v>
      </c>
      <c r="E107" s="16">
        <v>1.4999999999999999E-2</v>
      </c>
      <c r="F107" s="16">
        <v>1.7999999999999999E-2</v>
      </c>
      <c r="G107" s="16">
        <v>2.9000000000000001E-2</v>
      </c>
      <c r="H107" s="16">
        <v>4.3999999999999997E-2</v>
      </c>
    </row>
    <row r="108" spans="1:8" x14ac:dyDescent="0.3">
      <c r="A108" t="s">
        <v>66</v>
      </c>
      <c r="B108" s="5" t="s">
        <v>175</v>
      </c>
      <c r="C108" s="5" t="s">
        <v>54</v>
      </c>
      <c r="D108" s="16">
        <v>8.6999999999999994E-2</v>
      </c>
      <c r="E108" s="16">
        <v>7.6999999999999999E-2</v>
      </c>
      <c r="F108" s="16">
        <v>8.2000000000000003E-2</v>
      </c>
      <c r="G108" s="16">
        <v>9.0999999999999998E-2</v>
      </c>
      <c r="H108" s="16">
        <v>9.4E-2</v>
      </c>
    </row>
    <row r="109" spans="1:8" x14ac:dyDescent="0.3">
      <c r="A109" t="s">
        <v>66</v>
      </c>
      <c r="B109" s="5" t="s">
        <v>175</v>
      </c>
      <c r="C109" s="5" t="s">
        <v>56</v>
      </c>
      <c r="D109" s="16">
        <v>4.7E-2</v>
      </c>
      <c r="E109" s="16">
        <v>4.8000000000000001E-2</v>
      </c>
      <c r="F109" s="16">
        <v>5.3999999999999999E-2</v>
      </c>
      <c r="G109" s="16">
        <v>5.7000000000000002E-2</v>
      </c>
      <c r="H109" s="16">
        <v>6.6000000000000003E-2</v>
      </c>
    </row>
    <row r="110" spans="1:8" x14ac:dyDescent="0.3">
      <c r="A110" t="s">
        <v>67</v>
      </c>
      <c r="B110" s="5" t="s">
        <v>148</v>
      </c>
      <c r="C110" s="5" t="s">
        <v>34</v>
      </c>
      <c r="D110" s="16">
        <v>0.19438877755511022</v>
      </c>
      <c r="E110" s="16">
        <v>0.17334669338677355</v>
      </c>
      <c r="F110" s="16">
        <v>0.15731462925851702</v>
      </c>
      <c r="G110" s="16">
        <v>0.14729458917835672</v>
      </c>
      <c r="H110" s="16">
        <v>0.12725450901803606</v>
      </c>
    </row>
    <row r="111" spans="1:8" x14ac:dyDescent="0.3">
      <c r="A111" t="s">
        <v>67</v>
      </c>
      <c r="B111" s="5" t="s">
        <v>148</v>
      </c>
      <c r="C111" s="5" t="s">
        <v>36</v>
      </c>
      <c r="D111" s="16">
        <v>2.4048096192384769E-2</v>
      </c>
      <c r="E111" s="16">
        <v>2.2044088176352707E-2</v>
      </c>
      <c r="F111" s="16">
        <v>2.004008016032064E-2</v>
      </c>
      <c r="G111" s="16">
        <v>2.004008016032064E-2</v>
      </c>
      <c r="H111" s="16">
        <v>1.503006012024048E-2</v>
      </c>
    </row>
    <row r="112" spans="1:8" x14ac:dyDescent="0.3">
      <c r="A112" t="s">
        <v>67</v>
      </c>
      <c r="B112" s="5" t="s">
        <v>148</v>
      </c>
      <c r="C112" s="5" t="s">
        <v>38</v>
      </c>
      <c r="D112" s="16">
        <v>4.308617234468938E-2</v>
      </c>
      <c r="E112" s="16">
        <v>4.6092184368737472E-2</v>
      </c>
      <c r="F112" s="16">
        <v>5.0100200400801605E-2</v>
      </c>
      <c r="G112" s="16">
        <v>5.410821643286573E-2</v>
      </c>
      <c r="H112" s="16">
        <v>5.410821643286573E-2</v>
      </c>
    </row>
    <row r="113" spans="1:8" x14ac:dyDescent="0.3">
      <c r="A113" t="s">
        <v>67</v>
      </c>
      <c r="B113" s="5" t="s">
        <v>148</v>
      </c>
      <c r="C113" s="5" t="s">
        <v>40</v>
      </c>
      <c r="D113" s="16">
        <v>0.38677354709418837</v>
      </c>
      <c r="E113" s="16">
        <v>0.34869739478957917</v>
      </c>
      <c r="F113" s="16">
        <v>0.32865731462925851</v>
      </c>
      <c r="G113" s="16">
        <v>0.30060120240480964</v>
      </c>
      <c r="H113" s="16">
        <v>0.29158316633266534</v>
      </c>
    </row>
    <row r="114" spans="1:8" x14ac:dyDescent="0.3">
      <c r="A114" t="s">
        <v>67</v>
      </c>
      <c r="B114" s="5" t="s">
        <v>148</v>
      </c>
      <c r="C114" s="5" t="s">
        <v>42</v>
      </c>
      <c r="D114" s="16">
        <v>3.5070140280561123E-2</v>
      </c>
      <c r="E114" s="16">
        <v>3.8076152304609222E-2</v>
      </c>
      <c r="F114" s="16">
        <v>3.9078156312625248E-2</v>
      </c>
      <c r="G114" s="16">
        <v>4.0080160320641281E-2</v>
      </c>
      <c r="H114" s="16">
        <v>5.0100200400801605E-2</v>
      </c>
    </row>
    <row r="115" spans="1:8" x14ac:dyDescent="0.3">
      <c r="A115" t="s">
        <v>67</v>
      </c>
      <c r="B115" s="5" t="s">
        <v>148</v>
      </c>
      <c r="C115" s="5" t="s">
        <v>44</v>
      </c>
      <c r="D115" s="16">
        <v>3.1062124248496994E-2</v>
      </c>
      <c r="E115" s="16">
        <v>3.7074148296593189E-2</v>
      </c>
      <c r="F115" s="16">
        <v>4.0080160320641281E-2</v>
      </c>
      <c r="G115" s="16">
        <v>3.7074148296593189E-2</v>
      </c>
      <c r="H115" s="16">
        <v>3.3066132264529056E-2</v>
      </c>
    </row>
    <row r="116" spans="1:8" x14ac:dyDescent="0.3">
      <c r="A116" t="s">
        <v>67</v>
      </c>
      <c r="B116" s="5" t="s">
        <v>148</v>
      </c>
      <c r="C116" s="5" t="s">
        <v>46</v>
      </c>
      <c r="D116" s="16">
        <v>8.917835671342686E-2</v>
      </c>
      <c r="E116" s="16">
        <v>0.10420841683366733</v>
      </c>
      <c r="F116" s="16">
        <v>0.10921843687374749</v>
      </c>
      <c r="G116" s="16">
        <v>0.12424849699398798</v>
      </c>
      <c r="H116" s="16">
        <v>0.12525050100200399</v>
      </c>
    </row>
    <row r="117" spans="1:8" x14ac:dyDescent="0.3">
      <c r="A117" t="s">
        <v>67</v>
      </c>
      <c r="B117" s="5" t="s">
        <v>148</v>
      </c>
      <c r="C117" s="5" t="s">
        <v>48</v>
      </c>
      <c r="D117" s="16">
        <v>3.406813627254509E-2</v>
      </c>
      <c r="E117" s="16">
        <v>3.3066132264529056E-2</v>
      </c>
      <c r="F117" s="16">
        <v>3.1062124248496994E-2</v>
      </c>
      <c r="G117" s="16">
        <v>2.9058116232464931E-2</v>
      </c>
      <c r="H117" s="16">
        <v>2.4048096192384769E-2</v>
      </c>
    </row>
    <row r="118" spans="1:8" x14ac:dyDescent="0.3">
      <c r="A118" t="s">
        <v>67</v>
      </c>
      <c r="B118" s="5" t="s">
        <v>148</v>
      </c>
      <c r="C118" s="5" t="s">
        <v>50</v>
      </c>
      <c r="D118" s="16">
        <v>4.0080160320641281E-2</v>
      </c>
      <c r="E118" s="16">
        <v>4.7094188376753505E-2</v>
      </c>
      <c r="F118" s="16">
        <v>5.410821643286573E-2</v>
      </c>
      <c r="G118" s="16">
        <v>6.1122244488977955E-2</v>
      </c>
      <c r="H118" s="16">
        <v>6.8136272545090179E-2</v>
      </c>
    </row>
    <row r="119" spans="1:8" x14ac:dyDescent="0.3">
      <c r="A119" t="s">
        <v>67</v>
      </c>
      <c r="B119" s="5" t="s">
        <v>148</v>
      </c>
      <c r="C119" s="5" t="s">
        <v>52</v>
      </c>
      <c r="D119" s="16">
        <v>6.0120240480961923E-3</v>
      </c>
      <c r="E119" s="16">
        <v>7.0140280561122245E-3</v>
      </c>
      <c r="F119" s="16">
        <v>1.002004008016032E-2</v>
      </c>
      <c r="G119" s="16">
        <v>1.1022044088176353E-2</v>
      </c>
      <c r="H119" s="16">
        <v>2.3046092184368736E-2</v>
      </c>
    </row>
    <row r="120" spans="1:8" x14ac:dyDescent="0.3">
      <c r="A120" t="s">
        <v>67</v>
      </c>
      <c r="B120" s="5" t="s">
        <v>148</v>
      </c>
      <c r="C120" s="5" t="s">
        <v>54</v>
      </c>
      <c r="D120" s="16">
        <v>5.3106212424849697E-2</v>
      </c>
      <c r="E120" s="16">
        <v>7.2144288577154311E-2</v>
      </c>
      <c r="F120" s="16">
        <v>8.617234468937876E-2</v>
      </c>
      <c r="G120" s="16">
        <v>9.9198396793587176E-2</v>
      </c>
      <c r="H120" s="16">
        <v>0.11322645290581163</v>
      </c>
    </row>
    <row r="121" spans="1:8" x14ac:dyDescent="0.3">
      <c r="A121" t="s">
        <v>67</v>
      </c>
      <c r="B121" s="5" t="s">
        <v>148</v>
      </c>
      <c r="C121" s="5" t="s">
        <v>56</v>
      </c>
      <c r="D121" s="16">
        <v>6.3126252505010014E-2</v>
      </c>
      <c r="E121" s="16">
        <v>7.3146292585170344E-2</v>
      </c>
      <c r="F121" s="16">
        <v>7.7154308617234463E-2</v>
      </c>
      <c r="G121" s="16">
        <v>7.7154308617234463E-2</v>
      </c>
      <c r="H121" s="16">
        <v>7.7154308617234463E-2</v>
      </c>
    </row>
    <row r="122" spans="1:8" x14ac:dyDescent="0.3">
      <c r="A122" t="s">
        <v>68</v>
      </c>
      <c r="B122" s="5" t="s">
        <v>149</v>
      </c>
      <c r="C122" s="5" t="s">
        <v>34</v>
      </c>
      <c r="D122" s="16">
        <v>0.14699999999999999</v>
      </c>
      <c r="E122" s="16">
        <v>0.15</v>
      </c>
      <c r="F122" s="16">
        <v>0.154</v>
      </c>
      <c r="G122" s="16">
        <v>0.15</v>
      </c>
      <c r="H122" s="16">
        <v>0.128</v>
      </c>
    </row>
    <row r="123" spans="1:8" x14ac:dyDescent="0.3">
      <c r="A123" t="s">
        <v>68</v>
      </c>
      <c r="B123" s="5" t="s">
        <v>149</v>
      </c>
      <c r="C123" s="5" t="s">
        <v>36</v>
      </c>
      <c r="D123" s="16">
        <v>3.5000000000000003E-2</v>
      </c>
      <c r="E123" s="16">
        <v>0.03</v>
      </c>
      <c r="F123" s="16">
        <v>2.8000000000000001E-2</v>
      </c>
      <c r="G123" s="16">
        <v>2.4E-2</v>
      </c>
      <c r="H123" s="16">
        <v>0.02</v>
      </c>
    </row>
    <row r="124" spans="1:8" x14ac:dyDescent="0.3">
      <c r="A124" t="s">
        <v>68</v>
      </c>
      <c r="B124" s="5" t="s">
        <v>149</v>
      </c>
      <c r="C124" s="5" t="s">
        <v>38</v>
      </c>
      <c r="D124" s="16">
        <v>4.2999999999999997E-2</v>
      </c>
      <c r="E124" s="16">
        <v>3.6999999999999998E-2</v>
      </c>
      <c r="F124" s="16">
        <v>3.7999999999999999E-2</v>
      </c>
      <c r="G124" s="16">
        <v>3.9E-2</v>
      </c>
      <c r="H124" s="16">
        <v>4.1000000000000002E-2</v>
      </c>
    </row>
    <row r="125" spans="1:8" x14ac:dyDescent="0.3">
      <c r="A125" t="s">
        <v>68</v>
      </c>
      <c r="B125" s="5" t="s">
        <v>149</v>
      </c>
      <c r="C125" s="5" t="s">
        <v>40</v>
      </c>
      <c r="D125" s="16">
        <v>0.34699999999999998</v>
      </c>
      <c r="E125" s="16">
        <v>0.32800000000000001</v>
      </c>
      <c r="F125" s="16">
        <v>0.30499999999999999</v>
      </c>
      <c r="G125" s="16">
        <v>0.27900000000000003</v>
      </c>
      <c r="H125" s="16">
        <v>0.255</v>
      </c>
    </row>
    <row r="126" spans="1:8" x14ac:dyDescent="0.3">
      <c r="A126" t="s">
        <v>68</v>
      </c>
      <c r="B126" s="5" t="s">
        <v>149</v>
      </c>
      <c r="C126" s="5" t="s">
        <v>42</v>
      </c>
      <c r="D126" s="16">
        <v>3.4000000000000002E-2</v>
      </c>
      <c r="E126" s="16">
        <v>0.04</v>
      </c>
      <c r="F126" s="16">
        <v>4.2999999999999997E-2</v>
      </c>
      <c r="G126" s="16">
        <v>4.7E-2</v>
      </c>
      <c r="H126" s="16">
        <v>5.8000000000000003E-2</v>
      </c>
    </row>
    <row r="127" spans="1:8" x14ac:dyDescent="0.3">
      <c r="A127" t="s">
        <v>68</v>
      </c>
      <c r="B127" s="5" t="s">
        <v>149</v>
      </c>
      <c r="C127" s="5" t="s">
        <v>44</v>
      </c>
      <c r="D127" s="16">
        <v>1.4999999999999999E-2</v>
      </c>
      <c r="E127" s="16">
        <v>1.6E-2</v>
      </c>
      <c r="F127" s="16">
        <v>1.7999999999999999E-2</v>
      </c>
      <c r="G127" s="16">
        <v>1.6E-2</v>
      </c>
      <c r="H127" s="16">
        <v>1.4999999999999999E-2</v>
      </c>
    </row>
    <row r="128" spans="1:8" x14ac:dyDescent="0.3">
      <c r="A128" t="s">
        <v>68</v>
      </c>
      <c r="B128" s="5" t="s">
        <v>149</v>
      </c>
      <c r="C128" s="5" t="s">
        <v>46</v>
      </c>
      <c r="D128" s="16">
        <v>0.10199999999999999</v>
      </c>
      <c r="E128" s="16">
        <v>0.113</v>
      </c>
      <c r="F128" s="16">
        <v>0.121</v>
      </c>
      <c r="G128" s="16">
        <v>0.13900000000000001</v>
      </c>
      <c r="H128" s="16">
        <v>0.14899999999999999</v>
      </c>
    </row>
    <row r="129" spans="1:8" x14ac:dyDescent="0.3">
      <c r="A129" t="s">
        <v>68</v>
      </c>
      <c r="B129" s="5" t="s">
        <v>149</v>
      </c>
      <c r="C129" s="5" t="s">
        <v>48</v>
      </c>
      <c r="D129" s="16">
        <v>3.5000000000000003E-2</v>
      </c>
      <c r="E129" s="16">
        <v>2.8000000000000001E-2</v>
      </c>
      <c r="F129" s="16">
        <v>2.5000000000000001E-2</v>
      </c>
      <c r="G129" s="16">
        <v>2.3E-2</v>
      </c>
      <c r="H129" s="16">
        <v>1.7999999999999999E-2</v>
      </c>
    </row>
    <row r="130" spans="1:8" x14ac:dyDescent="0.3">
      <c r="A130" t="s">
        <v>68</v>
      </c>
      <c r="B130" s="5" t="s">
        <v>149</v>
      </c>
      <c r="C130" s="5" t="s">
        <v>50</v>
      </c>
      <c r="D130" s="16">
        <v>6.6000000000000003E-2</v>
      </c>
      <c r="E130" s="16">
        <v>6.6000000000000003E-2</v>
      </c>
      <c r="F130" s="16">
        <v>7.1999999999999995E-2</v>
      </c>
      <c r="G130" s="16">
        <v>7.5999999999999998E-2</v>
      </c>
      <c r="H130" s="16">
        <v>8.8999999999999996E-2</v>
      </c>
    </row>
    <row r="131" spans="1:8" x14ac:dyDescent="0.3">
      <c r="A131" t="s">
        <v>68</v>
      </c>
      <c r="B131" s="5" t="s">
        <v>149</v>
      </c>
      <c r="C131" s="5" t="s">
        <v>52</v>
      </c>
      <c r="D131" s="16">
        <v>8.0000000000000002E-3</v>
      </c>
      <c r="E131" s="16">
        <v>4.0000000000000001E-3</v>
      </c>
      <c r="F131" s="16">
        <v>3.0000000000000001E-3</v>
      </c>
      <c r="G131" s="16">
        <v>4.0000000000000001E-3</v>
      </c>
      <c r="H131" s="16">
        <v>8.9999999999999993E-3</v>
      </c>
    </row>
    <row r="132" spans="1:8" x14ac:dyDescent="0.3">
      <c r="A132" t="s">
        <v>68</v>
      </c>
      <c r="B132" s="5" t="s">
        <v>149</v>
      </c>
      <c r="C132" s="5" t="s">
        <v>54</v>
      </c>
      <c r="D132" s="16">
        <v>0.04</v>
      </c>
      <c r="E132" s="16">
        <v>4.1000000000000002E-2</v>
      </c>
      <c r="F132" s="16">
        <v>4.3999999999999997E-2</v>
      </c>
      <c r="G132" s="16">
        <v>5.1999999999999998E-2</v>
      </c>
      <c r="H132" s="16">
        <v>7.0999999999999994E-2</v>
      </c>
    </row>
    <row r="133" spans="1:8" x14ac:dyDescent="0.3">
      <c r="A133" t="s">
        <v>68</v>
      </c>
      <c r="B133" s="5" t="s">
        <v>149</v>
      </c>
      <c r="C133" s="5" t="s">
        <v>56</v>
      </c>
      <c r="D133" s="16">
        <v>0.128</v>
      </c>
      <c r="E133" s="16">
        <v>0.14699999999999999</v>
      </c>
      <c r="F133" s="16">
        <v>0.15</v>
      </c>
      <c r="G133" s="16">
        <v>0.15</v>
      </c>
      <c r="H133" s="16">
        <v>0.14799999999999999</v>
      </c>
    </row>
    <row r="134" spans="1:8" x14ac:dyDescent="0.3">
      <c r="A134" t="s">
        <v>70</v>
      </c>
      <c r="B134" s="5" t="s">
        <v>151</v>
      </c>
      <c r="C134" s="5" t="s">
        <v>34</v>
      </c>
      <c r="D134" s="16">
        <v>0.14699999999999999</v>
      </c>
      <c r="E134" s="16">
        <v>0.15</v>
      </c>
      <c r="F134" s="16">
        <v>0.154</v>
      </c>
      <c r="G134" s="16">
        <v>0.15</v>
      </c>
      <c r="H134" s="16">
        <v>0.128</v>
      </c>
    </row>
    <row r="135" spans="1:8" x14ac:dyDescent="0.3">
      <c r="A135" t="s">
        <v>70</v>
      </c>
      <c r="B135" s="5" t="s">
        <v>151</v>
      </c>
      <c r="C135" s="5" t="s">
        <v>36</v>
      </c>
      <c r="D135" s="16">
        <v>3.5000000000000003E-2</v>
      </c>
      <c r="E135" s="16">
        <v>0.03</v>
      </c>
      <c r="F135" s="16">
        <v>2.8000000000000001E-2</v>
      </c>
      <c r="G135" s="16">
        <v>2.4E-2</v>
      </c>
      <c r="H135" s="16">
        <v>0.02</v>
      </c>
    </row>
    <row r="136" spans="1:8" x14ac:dyDescent="0.3">
      <c r="A136" t="s">
        <v>70</v>
      </c>
      <c r="B136" s="5" t="s">
        <v>151</v>
      </c>
      <c r="C136" s="5" t="s">
        <v>38</v>
      </c>
      <c r="D136" s="16">
        <v>4.2999999999999997E-2</v>
      </c>
      <c r="E136" s="16">
        <v>3.6999999999999998E-2</v>
      </c>
      <c r="F136" s="16">
        <v>3.7999999999999999E-2</v>
      </c>
      <c r="G136" s="16">
        <v>3.9E-2</v>
      </c>
      <c r="H136" s="16">
        <v>4.1000000000000002E-2</v>
      </c>
    </row>
    <row r="137" spans="1:8" x14ac:dyDescent="0.3">
      <c r="A137" t="s">
        <v>70</v>
      </c>
      <c r="B137" s="5" t="s">
        <v>151</v>
      </c>
      <c r="C137" s="5" t="s">
        <v>40</v>
      </c>
      <c r="D137" s="16">
        <v>0.34699999999999998</v>
      </c>
      <c r="E137" s="16">
        <v>0.32800000000000001</v>
      </c>
      <c r="F137" s="16">
        <v>0.30499999999999999</v>
      </c>
      <c r="G137" s="16">
        <v>0.27900000000000003</v>
      </c>
      <c r="H137" s="16">
        <v>0.255</v>
      </c>
    </row>
    <row r="138" spans="1:8" x14ac:dyDescent="0.3">
      <c r="A138" t="s">
        <v>70</v>
      </c>
      <c r="B138" s="5" t="s">
        <v>151</v>
      </c>
      <c r="C138" s="5" t="s">
        <v>42</v>
      </c>
      <c r="D138" s="16">
        <v>3.4000000000000002E-2</v>
      </c>
      <c r="E138" s="16">
        <v>0.04</v>
      </c>
      <c r="F138" s="16">
        <v>4.2999999999999997E-2</v>
      </c>
      <c r="G138" s="16">
        <v>4.7E-2</v>
      </c>
      <c r="H138" s="16">
        <v>5.8000000000000003E-2</v>
      </c>
    </row>
    <row r="139" spans="1:8" x14ac:dyDescent="0.3">
      <c r="A139" t="s">
        <v>70</v>
      </c>
      <c r="B139" s="5" t="s">
        <v>151</v>
      </c>
      <c r="C139" s="5" t="s">
        <v>44</v>
      </c>
      <c r="D139" s="16">
        <v>1.4999999999999999E-2</v>
      </c>
      <c r="E139" s="16">
        <v>1.6E-2</v>
      </c>
      <c r="F139" s="16">
        <v>1.7999999999999999E-2</v>
      </c>
      <c r="G139" s="16">
        <v>1.6E-2</v>
      </c>
      <c r="H139" s="16">
        <v>1.4999999999999999E-2</v>
      </c>
    </row>
    <row r="140" spans="1:8" x14ac:dyDescent="0.3">
      <c r="A140" t="s">
        <v>70</v>
      </c>
      <c r="B140" s="5" t="s">
        <v>151</v>
      </c>
      <c r="C140" s="5" t="s">
        <v>46</v>
      </c>
      <c r="D140" s="16">
        <v>0.10199999999999999</v>
      </c>
      <c r="E140" s="16">
        <v>0.113</v>
      </c>
      <c r="F140" s="16">
        <v>0.121</v>
      </c>
      <c r="G140" s="16">
        <v>0.13900000000000001</v>
      </c>
      <c r="H140" s="16">
        <v>0.14899999999999999</v>
      </c>
    </row>
    <row r="141" spans="1:8" x14ac:dyDescent="0.3">
      <c r="A141" t="s">
        <v>70</v>
      </c>
      <c r="B141" s="5" t="s">
        <v>151</v>
      </c>
      <c r="C141" s="5" t="s">
        <v>48</v>
      </c>
      <c r="D141" s="16">
        <v>3.5000000000000003E-2</v>
      </c>
      <c r="E141" s="16">
        <v>2.8000000000000001E-2</v>
      </c>
      <c r="F141" s="16">
        <v>2.5000000000000001E-2</v>
      </c>
      <c r="G141" s="16">
        <v>2.3E-2</v>
      </c>
      <c r="H141" s="16">
        <v>1.7999999999999999E-2</v>
      </c>
    </row>
    <row r="142" spans="1:8" x14ac:dyDescent="0.3">
      <c r="A142" t="s">
        <v>70</v>
      </c>
      <c r="B142" s="5" t="s">
        <v>151</v>
      </c>
      <c r="C142" s="5" t="s">
        <v>50</v>
      </c>
      <c r="D142" s="16">
        <v>6.6000000000000003E-2</v>
      </c>
      <c r="E142" s="16">
        <v>6.6000000000000003E-2</v>
      </c>
      <c r="F142" s="16">
        <v>7.1999999999999995E-2</v>
      </c>
      <c r="G142" s="16">
        <v>7.5999999999999998E-2</v>
      </c>
      <c r="H142" s="16">
        <v>8.8999999999999996E-2</v>
      </c>
    </row>
    <row r="143" spans="1:8" x14ac:dyDescent="0.3">
      <c r="A143" t="s">
        <v>70</v>
      </c>
      <c r="B143" s="5" t="s">
        <v>151</v>
      </c>
      <c r="C143" s="5" t="s">
        <v>52</v>
      </c>
      <c r="D143" s="16">
        <v>8.0000000000000002E-3</v>
      </c>
      <c r="E143" s="16">
        <v>4.0000000000000001E-3</v>
      </c>
      <c r="F143" s="16">
        <v>3.0000000000000001E-3</v>
      </c>
      <c r="G143" s="16">
        <v>4.0000000000000001E-3</v>
      </c>
      <c r="H143" s="16">
        <v>8.9999999999999993E-3</v>
      </c>
    </row>
    <row r="144" spans="1:8" x14ac:dyDescent="0.3">
      <c r="A144" t="s">
        <v>70</v>
      </c>
      <c r="B144" s="5" t="s">
        <v>151</v>
      </c>
      <c r="C144" s="5" t="s">
        <v>54</v>
      </c>
      <c r="D144" s="16">
        <v>0.04</v>
      </c>
      <c r="E144" s="16">
        <v>4.1000000000000002E-2</v>
      </c>
      <c r="F144" s="16">
        <v>4.3999999999999997E-2</v>
      </c>
      <c r="G144" s="16">
        <v>5.1999999999999998E-2</v>
      </c>
      <c r="H144" s="16">
        <v>7.0999999999999994E-2</v>
      </c>
    </row>
    <row r="145" spans="1:8" x14ac:dyDescent="0.3">
      <c r="A145" t="s">
        <v>70</v>
      </c>
      <c r="B145" s="5" t="s">
        <v>151</v>
      </c>
      <c r="C145" s="5" t="s">
        <v>56</v>
      </c>
      <c r="D145" s="16">
        <v>0.128</v>
      </c>
      <c r="E145" s="16">
        <v>0.14699999999999999</v>
      </c>
      <c r="F145" s="16">
        <v>0.15</v>
      </c>
      <c r="G145" s="16">
        <v>0.15</v>
      </c>
      <c r="H145" s="16">
        <v>0.14799999999999999</v>
      </c>
    </row>
    <row r="146" spans="1:8" x14ac:dyDescent="0.3">
      <c r="A146" t="s">
        <v>71</v>
      </c>
      <c r="B146" s="5" t="s">
        <v>152</v>
      </c>
      <c r="C146" s="5" t="s">
        <v>34</v>
      </c>
      <c r="D146" s="16">
        <v>0.22577422577422576</v>
      </c>
      <c r="E146" s="16">
        <v>0.19780219780219779</v>
      </c>
      <c r="F146" s="16">
        <v>0.16983016983016982</v>
      </c>
      <c r="G146" s="16">
        <v>0.14585414585414586</v>
      </c>
      <c r="H146" s="16">
        <v>0.11688311688311688</v>
      </c>
    </row>
    <row r="147" spans="1:8" x14ac:dyDescent="0.3">
      <c r="A147" t="s">
        <v>71</v>
      </c>
      <c r="B147" s="5" t="s">
        <v>152</v>
      </c>
      <c r="C147" s="5" t="s">
        <v>36</v>
      </c>
      <c r="D147" s="16">
        <v>2.9970029970029972E-2</v>
      </c>
      <c r="E147" s="16">
        <v>2.4975024975024976E-2</v>
      </c>
      <c r="F147" s="16">
        <v>1.898101898101898E-2</v>
      </c>
      <c r="G147" s="16">
        <v>1.4985014985014986E-2</v>
      </c>
      <c r="H147" s="16">
        <v>8.9910089910089919E-3</v>
      </c>
    </row>
    <row r="148" spans="1:8" x14ac:dyDescent="0.3">
      <c r="A148" t="s">
        <v>71</v>
      </c>
      <c r="B148" s="5" t="s">
        <v>152</v>
      </c>
      <c r="C148" s="5" t="s">
        <v>38</v>
      </c>
      <c r="D148" s="16">
        <v>3.4965034965034968E-2</v>
      </c>
      <c r="E148" s="16">
        <v>4.6953046953046952E-2</v>
      </c>
      <c r="F148" s="16">
        <v>5.1948051948051951E-2</v>
      </c>
      <c r="G148" s="16">
        <v>6.4935064935064929E-2</v>
      </c>
      <c r="H148" s="16">
        <v>6.4935064935064929E-2</v>
      </c>
    </row>
    <row r="149" spans="1:8" x14ac:dyDescent="0.3">
      <c r="A149" t="s">
        <v>71</v>
      </c>
      <c r="B149" s="5" t="s">
        <v>152</v>
      </c>
      <c r="C149" s="5" t="s">
        <v>40</v>
      </c>
      <c r="D149" s="16">
        <v>0.32167832167832167</v>
      </c>
      <c r="E149" s="16">
        <v>0.29070929070929069</v>
      </c>
      <c r="F149" s="16">
        <v>0.25374625374625376</v>
      </c>
      <c r="G149" s="16">
        <v>0.23976023976023977</v>
      </c>
      <c r="H149" s="16">
        <v>0.23776223776223776</v>
      </c>
    </row>
    <row r="150" spans="1:8" x14ac:dyDescent="0.3">
      <c r="A150" t="s">
        <v>71</v>
      </c>
      <c r="B150" s="5" t="s">
        <v>152</v>
      </c>
      <c r="C150" s="5" t="s">
        <v>42</v>
      </c>
      <c r="D150" s="16">
        <v>5.2947052947052944E-2</v>
      </c>
      <c r="E150" s="16">
        <v>5.4945054945054944E-2</v>
      </c>
      <c r="F150" s="16">
        <v>5.1948051948051951E-2</v>
      </c>
      <c r="G150" s="16">
        <v>4.5954045954045952E-2</v>
      </c>
      <c r="H150" s="16">
        <v>5.3946053946053944E-2</v>
      </c>
    </row>
    <row r="151" spans="1:8" x14ac:dyDescent="0.3">
      <c r="A151" t="s">
        <v>71</v>
      </c>
      <c r="B151" s="5" t="s">
        <v>152</v>
      </c>
      <c r="C151" s="5" t="s">
        <v>44</v>
      </c>
      <c r="D151" s="16">
        <v>5.6943056943056944E-2</v>
      </c>
      <c r="E151" s="16">
        <v>5.6943056943056944E-2</v>
      </c>
      <c r="F151" s="16">
        <v>5.8941058941058944E-2</v>
      </c>
      <c r="G151" s="16">
        <v>5.2947052947052944E-2</v>
      </c>
      <c r="H151" s="16">
        <v>4.3956043956043959E-2</v>
      </c>
    </row>
    <row r="152" spans="1:8" x14ac:dyDescent="0.3">
      <c r="A152" t="s">
        <v>71</v>
      </c>
      <c r="B152" s="5" t="s">
        <v>152</v>
      </c>
      <c r="C152" s="5" t="s">
        <v>46</v>
      </c>
      <c r="D152" s="16">
        <v>0.1038961038961039</v>
      </c>
      <c r="E152" s="16">
        <v>0.1008991008991009</v>
      </c>
      <c r="F152" s="16">
        <v>0.12387612387612387</v>
      </c>
      <c r="G152" s="16">
        <v>0.12587412587412589</v>
      </c>
      <c r="H152" s="16">
        <v>0.12387612387612387</v>
      </c>
    </row>
    <row r="153" spans="1:8" x14ac:dyDescent="0.3">
      <c r="A153" t="s">
        <v>71</v>
      </c>
      <c r="B153" s="5" t="s">
        <v>152</v>
      </c>
      <c r="C153" s="5" t="s">
        <v>48</v>
      </c>
      <c r="D153" s="16">
        <v>4.095904095904096E-2</v>
      </c>
      <c r="E153" s="16">
        <v>4.295704295704296E-2</v>
      </c>
      <c r="F153" s="16">
        <v>4.3956043956043959E-2</v>
      </c>
      <c r="G153" s="16">
        <v>4.195804195804196E-2</v>
      </c>
      <c r="H153" s="16">
        <v>3.696303696303696E-2</v>
      </c>
    </row>
    <row r="154" spans="1:8" x14ac:dyDescent="0.3">
      <c r="A154" t="s">
        <v>71</v>
      </c>
      <c r="B154" s="5" t="s">
        <v>152</v>
      </c>
      <c r="C154" s="5" t="s">
        <v>50</v>
      </c>
      <c r="D154" s="16">
        <v>2.5974025974025976E-2</v>
      </c>
      <c r="E154" s="16">
        <v>3.796203796203796E-2</v>
      </c>
      <c r="F154" s="16">
        <v>4.295704295704296E-2</v>
      </c>
      <c r="G154" s="16">
        <v>4.5954045954045952E-2</v>
      </c>
      <c r="H154" s="16">
        <v>4.9950049950049952E-2</v>
      </c>
    </row>
    <row r="155" spans="1:8" x14ac:dyDescent="0.3">
      <c r="A155" t="s">
        <v>71</v>
      </c>
      <c r="B155" s="5" t="s">
        <v>152</v>
      </c>
      <c r="C155" s="5" t="s">
        <v>52</v>
      </c>
      <c r="D155" s="16">
        <v>9.99000999000999E-3</v>
      </c>
      <c r="E155" s="16">
        <v>1.4985014985014986E-2</v>
      </c>
      <c r="F155" s="16">
        <v>2.8971028971028972E-2</v>
      </c>
      <c r="G155" s="16">
        <v>5.2947052947052944E-2</v>
      </c>
      <c r="H155" s="16">
        <v>6.6933066933066929E-2</v>
      </c>
    </row>
    <row r="156" spans="1:8" x14ac:dyDescent="0.3">
      <c r="A156" t="s">
        <v>71</v>
      </c>
      <c r="B156" s="5" t="s">
        <v>152</v>
      </c>
      <c r="C156" s="5" t="s">
        <v>54</v>
      </c>
      <c r="D156" s="16">
        <v>4.3956043956043959E-2</v>
      </c>
      <c r="E156" s="16">
        <v>6.2937062937062943E-2</v>
      </c>
      <c r="F156" s="16">
        <v>7.992007992007992E-2</v>
      </c>
      <c r="G156" s="16">
        <v>9.1908091908091905E-2</v>
      </c>
      <c r="H156" s="16">
        <v>0.11188811188811189</v>
      </c>
    </row>
    <row r="157" spans="1:8" x14ac:dyDescent="0.3">
      <c r="A157" t="s">
        <v>71</v>
      </c>
      <c r="B157" s="5" t="s">
        <v>152</v>
      </c>
      <c r="C157" s="5" t="s">
        <v>56</v>
      </c>
      <c r="D157" s="16">
        <v>5.2947052947052944E-2</v>
      </c>
      <c r="E157" s="16">
        <v>6.6933066933066929E-2</v>
      </c>
      <c r="F157" s="16">
        <v>7.3926073926073921E-2</v>
      </c>
      <c r="G157" s="16">
        <v>7.5924075924075921E-2</v>
      </c>
      <c r="H157" s="16">
        <v>8.2917082917082913E-2</v>
      </c>
    </row>
    <row r="158" spans="1:8" x14ac:dyDescent="0.3">
      <c r="A158" t="s">
        <v>72</v>
      </c>
      <c r="B158" s="5" t="s">
        <v>153</v>
      </c>
      <c r="C158" s="5" t="s">
        <v>34</v>
      </c>
      <c r="D158" s="16">
        <v>0.29799999999999999</v>
      </c>
      <c r="E158" s="16">
        <v>0.28599999999999998</v>
      </c>
      <c r="F158" s="16">
        <v>0.26900000000000002</v>
      </c>
      <c r="G158" s="16">
        <v>0.25</v>
      </c>
      <c r="H158" s="16">
        <v>0.19400000000000001</v>
      </c>
    </row>
    <row r="159" spans="1:8" x14ac:dyDescent="0.3">
      <c r="A159" t="s">
        <v>72</v>
      </c>
      <c r="B159" s="5" t="s">
        <v>153</v>
      </c>
      <c r="C159" s="5" t="s">
        <v>36</v>
      </c>
      <c r="D159" s="16">
        <v>2.4E-2</v>
      </c>
      <c r="E159" s="16">
        <v>0.03</v>
      </c>
      <c r="F159" s="16">
        <v>0.03</v>
      </c>
      <c r="G159" s="16">
        <v>3.3000000000000002E-2</v>
      </c>
      <c r="H159" s="16">
        <v>0.03</v>
      </c>
    </row>
    <row r="160" spans="1:8" x14ac:dyDescent="0.3">
      <c r="A160" t="s">
        <v>72</v>
      </c>
      <c r="B160" s="5" t="s">
        <v>153</v>
      </c>
      <c r="C160" s="5" t="s">
        <v>38</v>
      </c>
      <c r="D160" s="16">
        <v>2.7E-2</v>
      </c>
      <c r="E160" s="16">
        <v>4.2000000000000003E-2</v>
      </c>
      <c r="F160" s="16">
        <v>4.4999999999999998E-2</v>
      </c>
      <c r="G160" s="16">
        <v>5.3999999999999999E-2</v>
      </c>
      <c r="H160" s="16">
        <v>7.0000000000000007E-2</v>
      </c>
    </row>
    <row r="161" spans="1:8" x14ac:dyDescent="0.3">
      <c r="A161" t="s">
        <v>72</v>
      </c>
      <c r="B161" s="5" t="s">
        <v>153</v>
      </c>
      <c r="C161" s="5" t="s">
        <v>40</v>
      </c>
      <c r="D161" s="16">
        <v>0.35199999999999998</v>
      </c>
      <c r="E161" s="16">
        <v>0.28899999999999998</v>
      </c>
      <c r="F161" s="16">
        <v>0.248</v>
      </c>
      <c r="G161" s="16">
        <v>0.22</v>
      </c>
      <c r="H161" s="16">
        <v>0.19900000000000001</v>
      </c>
    </row>
    <row r="162" spans="1:8" x14ac:dyDescent="0.3">
      <c r="A162" t="s">
        <v>72</v>
      </c>
      <c r="B162" s="5" t="s">
        <v>153</v>
      </c>
      <c r="C162" s="5" t="s">
        <v>42</v>
      </c>
      <c r="D162" s="16">
        <v>2.1999999999999999E-2</v>
      </c>
      <c r="E162" s="16">
        <v>3.3000000000000002E-2</v>
      </c>
      <c r="F162" s="16">
        <v>3.9E-2</v>
      </c>
      <c r="G162" s="16">
        <v>4.2000000000000003E-2</v>
      </c>
      <c r="H162" s="16">
        <v>5.1999999999999998E-2</v>
      </c>
    </row>
    <row r="163" spans="1:8" x14ac:dyDescent="0.3">
      <c r="A163" t="s">
        <v>72</v>
      </c>
      <c r="B163" s="5" t="s">
        <v>153</v>
      </c>
      <c r="C163" s="5" t="s">
        <v>44</v>
      </c>
      <c r="D163" s="16">
        <v>0.10100000000000001</v>
      </c>
      <c r="E163" s="16">
        <v>7.6999999999999999E-2</v>
      </c>
      <c r="F163" s="16">
        <v>7.1999999999999995E-2</v>
      </c>
      <c r="G163" s="16">
        <v>4.9000000000000002E-2</v>
      </c>
      <c r="H163" s="16">
        <v>4.1000000000000002E-2</v>
      </c>
    </row>
    <row r="164" spans="1:8" x14ac:dyDescent="0.3">
      <c r="A164" t="s">
        <v>72</v>
      </c>
      <c r="B164" s="5" t="s">
        <v>153</v>
      </c>
      <c r="C164" s="5" t="s">
        <v>46</v>
      </c>
      <c r="D164" s="16">
        <v>3.6999999999999998E-2</v>
      </c>
      <c r="E164" s="16">
        <v>7.0999999999999994E-2</v>
      </c>
      <c r="F164" s="16">
        <v>0.104</v>
      </c>
      <c r="G164" s="16">
        <v>0.127</v>
      </c>
      <c r="H164" s="16">
        <v>0.154</v>
      </c>
    </row>
    <row r="165" spans="1:8" x14ac:dyDescent="0.3">
      <c r="A165" t="s">
        <v>72</v>
      </c>
      <c r="B165" s="5" t="s">
        <v>153</v>
      </c>
      <c r="C165" s="5" t="s">
        <v>48</v>
      </c>
      <c r="D165" s="16">
        <v>3.7999999999999999E-2</v>
      </c>
      <c r="E165" s="16">
        <v>4.2000000000000003E-2</v>
      </c>
      <c r="F165" s="16">
        <v>4.2999999999999997E-2</v>
      </c>
      <c r="G165" s="16">
        <v>4.3999999999999997E-2</v>
      </c>
      <c r="H165" s="16">
        <v>3.5000000000000003E-2</v>
      </c>
    </row>
    <row r="166" spans="1:8" x14ac:dyDescent="0.3">
      <c r="A166" t="s">
        <v>72</v>
      </c>
      <c r="B166" s="5" t="s">
        <v>153</v>
      </c>
      <c r="C166" s="5" t="s">
        <v>50</v>
      </c>
      <c r="D166" s="16">
        <v>4.8000000000000001E-2</v>
      </c>
      <c r="E166" s="16">
        <v>5.6000000000000001E-2</v>
      </c>
      <c r="F166" s="16">
        <v>5.6000000000000001E-2</v>
      </c>
      <c r="G166" s="16">
        <v>7.0000000000000007E-2</v>
      </c>
      <c r="H166" s="16">
        <v>8.8999999999999996E-2</v>
      </c>
    </row>
    <row r="167" spans="1:8" x14ac:dyDescent="0.3">
      <c r="A167" t="s">
        <v>72</v>
      </c>
      <c r="B167" s="5" t="s">
        <v>153</v>
      </c>
      <c r="C167" s="5" t="s">
        <v>52</v>
      </c>
      <c r="D167" s="16">
        <v>1E-3</v>
      </c>
      <c r="E167" s="16">
        <v>8.9999999999999993E-3</v>
      </c>
      <c r="F167" s="16">
        <v>0.01</v>
      </c>
      <c r="G167" s="16">
        <v>1.0999999999999999E-2</v>
      </c>
      <c r="H167" s="16">
        <v>1.6E-2</v>
      </c>
    </row>
    <row r="168" spans="1:8" x14ac:dyDescent="0.3">
      <c r="A168" t="s">
        <v>72</v>
      </c>
      <c r="B168" s="5" t="s">
        <v>153</v>
      </c>
      <c r="C168" s="5" t="s">
        <v>54</v>
      </c>
      <c r="D168" s="16">
        <v>0.02</v>
      </c>
      <c r="E168" s="16">
        <v>2.5000000000000001E-2</v>
      </c>
      <c r="F168" s="16">
        <v>3.4000000000000002E-2</v>
      </c>
      <c r="G168" s="16">
        <v>4.3999999999999997E-2</v>
      </c>
      <c r="H168" s="16">
        <v>6.0999999999999999E-2</v>
      </c>
    </row>
    <row r="169" spans="1:8" x14ac:dyDescent="0.3">
      <c r="A169" t="s">
        <v>72</v>
      </c>
      <c r="B169" s="5" t="s">
        <v>153</v>
      </c>
      <c r="C169" s="5" t="s">
        <v>56</v>
      </c>
      <c r="D169" s="16">
        <v>3.2000000000000001E-2</v>
      </c>
      <c r="E169" s="16">
        <v>0.04</v>
      </c>
      <c r="F169" s="16">
        <v>4.9000000000000002E-2</v>
      </c>
      <c r="G169" s="16">
        <v>5.6000000000000001E-2</v>
      </c>
      <c r="H169" s="16">
        <v>5.8000000000000003E-2</v>
      </c>
    </row>
    <row r="170" spans="1:8" x14ac:dyDescent="0.3">
      <c r="A170" t="s">
        <v>73</v>
      </c>
      <c r="B170" s="5" t="s">
        <v>154</v>
      </c>
      <c r="C170" s="5" t="s">
        <v>34</v>
      </c>
      <c r="D170" s="16">
        <v>0.32800000000000001</v>
      </c>
      <c r="E170" s="16">
        <v>0.28699999999999998</v>
      </c>
      <c r="F170" s="16">
        <v>0.26400000000000001</v>
      </c>
      <c r="G170" s="16">
        <v>0.24099999999999999</v>
      </c>
      <c r="H170" s="16">
        <v>0.19900000000000001</v>
      </c>
    </row>
    <row r="171" spans="1:8" x14ac:dyDescent="0.3">
      <c r="A171" t="s">
        <v>73</v>
      </c>
      <c r="B171" s="5" t="s">
        <v>154</v>
      </c>
      <c r="C171" s="5" t="s">
        <v>36</v>
      </c>
      <c r="D171" s="16">
        <v>4.4999999999999998E-2</v>
      </c>
      <c r="E171" s="16">
        <v>3.3000000000000002E-2</v>
      </c>
      <c r="F171" s="16">
        <v>3.4000000000000002E-2</v>
      </c>
      <c r="G171" s="16">
        <v>2.8000000000000001E-2</v>
      </c>
      <c r="H171" s="16">
        <v>2.5999999999999999E-2</v>
      </c>
    </row>
    <row r="172" spans="1:8" x14ac:dyDescent="0.3">
      <c r="A172" t="s">
        <v>73</v>
      </c>
      <c r="B172" s="5" t="s">
        <v>154</v>
      </c>
      <c r="C172" s="5" t="s">
        <v>38</v>
      </c>
      <c r="D172" s="16">
        <v>3.2000000000000001E-2</v>
      </c>
      <c r="E172" s="16">
        <v>0.04</v>
      </c>
      <c r="F172" s="16">
        <v>4.2999999999999997E-2</v>
      </c>
      <c r="G172" s="16">
        <v>5.0999999999999997E-2</v>
      </c>
      <c r="H172" s="16">
        <v>7.2999999999999995E-2</v>
      </c>
    </row>
    <row r="173" spans="1:8" x14ac:dyDescent="0.3">
      <c r="A173" t="s">
        <v>73</v>
      </c>
      <c r="B173" s="5" t="s">
        <v>154</v>
      </c>
      <c r="C173" s="5" t="s">
        <v>40</v>
      </c>
      <c r="D173" s="16">
        <v>0.33200000000000002</v>
      </c>
      <c r="E173" s="16">
        <v>0.36499999999999999</v>
      </c>
      <c r="F173" s="16">
        <v>0.36899999999999999</v>
      </c>
      <c r="G173" s="16">
        <v>0.34200000000000003</v>
      </c>
      <c r="H173" s="16">
        <v>0.3</v>
      </c>
    </row>
    <row r="174" spans="1:8" x14ac:dyDescent="0.3">
      <c r="A174" t="s">
        <v>73</v>
      </c>
      <c r="B174" s="5" t="s">
        <v>154</v>
      </c>
      <c r="C174" s="5" t="s">
        <v>42</v>
      </c>
      <c r="D174" s="16">
        <v>3.7999999999999999E-2</v>
      </c>
      <c r="E174" s="16">
        <v>0.04</v>
      </c>
      <c r="F174" s="16">
        <v>0.04</v>
      </c>
      <c r="G174" s="16">
        <v>4.2000000000000003E-2</v>
      </c>
      <c r="H174" s="16">
        <v>4.5999999999999999E-2</v>
      </c>
    </row>
    <row r="175" spans="1:8" x14ac:dyDescent="0.3">
      <c r="A175" t="s">
        <v>73</v>
      </c>
      <c r="B175" s="5" t="s">
        <v>154</v>
      </c>
      <c r="C175" s="5" t="s">
        <v>44</v>
      </c>
      <c r="D175" s="16">
        <v>7.2999999999999995E-2</v>
      </c>
      <c r="E175" s="16">
        <v>5.6000000000000001E-2</v>
      </c>
      <c r="F175" s="16">
        <v>5.1999999999999998E-2</v>
      </c>
      <c r="G175" s="16">
        <v>5.2999999999999999E-2</v>
      </c>
      <c r="H175" s="16">
        <v>4.2999999999999997E-2</v>
      </c>
    </row>
    <row r="176" spans="1:8" x14ac:dyDescent="0.3">
      <c r="A176" t="s">
        <v>73</v>
      </c>
      <c r="B176" s="5" t="s">
        <v>154</v>
      </c>
      <c r="C176" s="5" t="s">
        <v>46</v>
      </c>
      <c r="D176" s="16">
        <v>3.5000000000000003E-2</v>
      </c>
      <c r="E176" s="16">
        <v>5.1999999999999998E-2</v>
      </c>
      <c r="F176" s="16">
        <v>6.0999999999999999E-2</v>
      </c>
      <c r="G176" s="16">
        <v>8.6999999999999994E-2</v>
      </c>
      <c r="H176" s="16">
        <v>0.11</v>
      </c>
    </row>
    <row r="177" spans="1:8" x14ac:dyDescent="0.3">
      <c r="A177" t="s">
        <v>73</v>
      </c>
      <c r="B177" s="5" t="s">
        <v>154</v>
      </c>
      <c r="C177" s="5" t="s">
        <v>48</v>
      </c>
      <c r="D177" s="16">
        <v>2.9000000000000001E-2</v>
      </c>
      <c r="E177" s="16">
        <v>3.3000000000000002E-2</v>
      </c>
      <c r="F177" s="16">
        <v>3.4000000000000002E-2</v>
      </c>
      <c r="G177" s="16">
        <v>3.5000000000000003E-2</v>
      </c>
      <c r="H177" s="16">
        <v>3.3000000000000002E-2</v>
      </c>
    </row>
    <row r="178" spans="1:8" x14ac:dyDescent="0.3">
      <c r="A178" t="s">
        <v>73</v>
      </c>
      <c r="B178" s="5" t="s">
        <v>154</v>
      </c>
      <c r="C178" s="5" t="s">
        <v>50</v>
      </c>
      <c r="D178" s="16">
        <v>3.2000000000000001E-2</v>
      </c>
      <c r="E178" s="16">
        <v>3.7999999999999999E-2</v>
      </c>
      <c r="F178" s="16">
        <v>4.2000000000000003E-2</v>
      </c>
      <c r="G178" s="16">
        <v>4.4999999999999998E-2</v>
      </c>
      <c r="H178" s="16">
        <v>6.6000000000000003E-2</v>
      </c>
    </row>
    <row r="179" spans="1:8" x14ac:dyDescent="0.3">
      <c r="A179" t="s">
        <v>73</v>
      </c>
      <c r="B179" s="5" t="s">
        <v>154</v>
      </c>
      <c r="C179" s="5" t="s">
        <v>52</v>
      </c>
      <c r="D179" s="16">
        <v>1E-3</v>
      </c>
      <c r="E179" s="16">
        <v>3.0000000000000001E-3</v>
      </c>
      <c r="F179" s="16">
        <v>4.0000000000000001E-3</v>
      </c>
      <c r="G179" s="16">
        <v>7.0000000000000001E-3</v>
      </c>
      <c r="H179" s="16">
        <v>8.9999999999999993E-3</v>
      </c>
    </row>
    <row r="180" spans="1:8" x14ac:dyDescent="0.3">
      <c r="A180" t="s">
        <v>73</v>
      </c>
      <c r="B180" s="5" t="s">
        <v>154</v>
      </c>
      <c r="C180" s="5" t="s">
        <v>54</v>
      </c>
      <c r="D180" s="16">
        <v>1.6E-2</v>
      </c>
      <c r="E180" s="16">
        <v>1.7999999999999999E-2</v>
      </c>
      <c r="F180" s="16">
        <v>0.02</v>
      </c>
      <c r="G180" s="16">
        <v>2.4E-2</v>
      </c>
      <c r="H180" s="16">
        <v>4.2999999999999997E-2</v>
      </c>
    </row>
    <row r="181" spans="1:8" x14ac:dyDescent="0.3">
      <c r="A181" t="s">
        <v>73</v>
      </c>
      <c r="B181" s="5" t="s">
        <v>154</v>
      </c>
      <c r="C181" s="5" t="s">
        <v>56</v>
      </c>
      <c r="D181" s="16">
        <v>3.9E-2</v>
      </c>
      <c r="E181" s="16">
        <v>3.6999999999999998E-2</v>
      </c>
      <c r="F181" s="16">
        <v>3.6999999999999998E-2</v>
      </c>
      <c r="G181" s="16">
        <v>4.7E-2</v>
      </c>
      <c r="H181" s="16">
        <v>5.1999999999999998E-2</v>
      </c>
    </row>
    <row r="182" spans="1:8" x14ac:dyDescent="0.3">
      <c r="A182" t="s">
        <v>74</v>
      </c>
      <c r="B182" s="5" t="s">
        <v>155</v>
      </c>
      <c r="C182" s="5" t="s">
        <v>34</v>
      </c>
      <c r="D182" s="16">
        <v>0.109</v>
      </c>
      <c r="E182" s="16">
        <v>9.4E-2</v>
      </c>
      <c r="F182" s="16">
        <v>9.8000000000000004E-2</v>
      </c>
      <c r="G182" s="16">
        <v>8.6999999999999994E-2</v>
      </c>
      <c r="H182" s="16">
        <v>7.1999999999999995E-2</v>
      </c>
    </row>
    <row r="183" spans="1:8" x14ac:dyDescent="0.3">
      <c r="A183" t="s">
        <v>74</v>
      </c>
      <c r="B183" s="5" t="s">
        <v>155</v>
      </c>
      <c r="C183" s="5" t="s">
        <v>36</v>
      </c>
      <c r="D183" s="16">
        <v>1.7999999999999999E-2</v>
      </c>
      <c r="E183" s="16">
        <v>1.4E-2</v>
      </c>
      <c r="F183" s="16">
        <v>1.6E-2</v>
      </c>
      <c r="G183" s="16">
        <v>1.2999999999999999E-2</v>
      </c>
      <c r="H183" s="16">
        <v>1.0999999999999999E-2</v>
      </c>
    </row>
    <row r="184" spans="1:8" x14ac:dyDescent="0.3">
      <c r="A184" t="s">
        <v>74</v>
      </c>
      <c r="B184" s="5" t="s">
        <v>155</v>
      </c>
      <c r="C184" s="5" t="s">
        <v>38</v>
      </c>
      <c r="D184" s="16">
        <v>4.1000000000000002E-2</v>
      </c>
      <c r="E184" s="16">
        <v>4.9000000000000002E-2</v>
      </c>
      <c r="F184" s="16">
        <v>5.1999999999999998E-2</v>
      </c>
      <c r="G184" s="16">
        <v>5.6000000000000001E-2</v>
      </c>
      <c r="H184" s="16">
        <v>5.8000000000000003E-2</v>
      </c>
    </row>
    <row r="185" spans="1:8" x14ac:dyDescent="0.3">
      <c r="A185" t="s">
        <v>74</v>
      </c>
      <c r="B185" s="5" t="s">
        <v>155</v>
      </c>
      <c r="C185" s="5" t="s">
        <v>40</v>
      </c>
      <c r="D185" s="16">
        <v>0.40100000000000002</v>
      </c>
      <c r="E185" s="16">
        <v>0.35799999999999998</v>
      </c>
      <c r="F185" s="16">
        <v>0.35</v>
      </c>
      <c r="G185" s="16">
        <v>0.32100000000000001</v>
      </c>
      <c r="H185" s="16">
        <v>0.35099999999999998</v>
      </c>
    </row>
    <row r="186" spans="1:8" x14ac:dyDescent="0.3">
      <c r="A186" t="s">
        <v>74</v>
      </c>
      <c r="B186" s="5" t="s">
        <v>155</v>
      </c>
      <c r="C186" s="5" t="s">
        <v>42</v>
      </c>
      <c r="D186" s="16">
        <v>3.7999999999999999E-2</v>
      </c>
      <c r="E186" s="16">
        <v>0.05</v>
      </c>
      <c r="F186" s="16">
        <v>6.3E-2</v>
      </c>
      <c r="G186" s="16">
        <v>6.3E-2</v>
      </c>
      <c r="H186" s="16">
        <v>7.4999999999999997E-2</v>
      </c>
    </row>
    <row r="187" spans="1:8" x14ac:dyDescent="0.3">
      <c r="A187" t="s">
        <v>74</v>
      </c>
      <c r="B187" s="5" t="s">
        <v>155</v>
      </c>
      <c r="C187" s="5" t="s">
        <v>44</v>
      </c>
      <c r="D187" s="16">
        <v>2.7E-2</v>
      </c>
      <c r="E187" s="16">
        <v>2.5999999999999999E-2</v>
      </c>
      <c r="F187" s="16">
        <v>2.5000000000000001E-2</v>
      </c>
      <c r="G187" s="16">
        <v>2.7E-2</v>
      </c>
      <c r="H187" s="16">
        <v>0.02</v>
      </c>
    </row>
    <row r="188" spans="1:8" x14ac:dyDescent="0.3">
      <c r="A188" t="s">
        <v>74</v>
      </c>
      <c r="B188" s="5" t="s">
        <v>155</v>
      </c>
      <c r="C188" s="5" t="s">
        <v>46</v>
      </c>
      <c r="D188" s="16">
        <v>0.125</v>
      </c>
      <c r="E188" s="16">
        <v>0.14199999999999999</v>
      </c>
      <c r="F188" s="16">
        <v>0.13800000000000001</v>
      </c>
      <c r="G188" s="16">
        <v>0.16200000000000001</v>
      </c>
      <c r="H188" s="16">
        <v>0.13200000000000001</v>
      </c>
    </row>
    <row r="189" spans="1:8" x14ac:dyDescent="0.3">
      <c r="A189" t="s">
        <v>74</v>
      </c>
      <c r="B189" s="5" t="s">
        <v>155</v>
      </c>
      <c r="C189" s="5" t="s">
        <v>48</v>
      </c>
      <c r="D189" s="16">
        <v>3.2000000000000001E-2</v>
      </c>
      <c r="E189" s="16">
        <v>3.2000000000000001E-2</v>
      </c>
      <c r="F189" s="16">
        <v>2.8000000000000001E-2</v>
      </c>
      <c r="G189" s="16">
        <v>2.4E-2</v>
      </c>
      <c r="H189" s="16">
        <v>1.9E-2</v>
      </c>
    </row>
    <row r="190" spans="1:8" x14ac:dyDescent="0.3">
      <c r="A190" t="s">
        <v>74</v>
      </c>
      <c r="B190" s="5" t="s">
        <v>155</v>
      </c>
      <c r="C190" s="5" t="s">
        <v>50</v>
      </c>
      <c r="D190" s="16">
        <v>5.2999999999999999E-2</v>
      </c>
      <c r="E190" s="16">
        <v>6.0999999999999999E-2</v>
      </c>
      <c r="F190" s="16">
        <v>6.7000000000000004E-2</v>
      </c>
      <c r="G190" s="16">
        <v>7.1999999999999995E-2</v>
      </c>
      <c r="H190" s="16">
        <v>7.5999999999999998E-2</v>
      </c>
    </row>
    <row r="191" spans="1:8" x14ac:dyDescent="0.3">
      <c r="A191" t="s">
        <v>74</v>
      </c>
      <c r="B191" s="5" t="s">
        <v>155</v>
      </c>
      <c r="C191" s="5" t="s">
        <v>52</v>
      </c>
      <c r="D191" s="16">
        <v>8.0000000000000002E-3</v>
      </c>
      <c r="E191" s="16">
        <v>1.2999999999999999E-2</v>
      </c>
      <c r="F191" s="16">
        <v>5.0000000000000001E-3</v>
      </c>
      <c r="G191" s="16">
        <v>5.0000000000000001E-3</v>
      </c>
      <c r="H191" s="16">
        <v>8.9999999999999993E-3</v>
      </c>
    </row>
    <row r="192" spans="1:8" x14ac:dyDescent="0.3">
      <c r="A192" t="s">
        <v>74</v>
      </c>
      <c r="B192" s="5" t="s">
        <v>155</v>
      </c>
      <c r="C192" s="5" t="s">
        <v>54</v>
      </c>
      <c r="D192" s="16">
        <v>7.1999999999999995E-2</v>
      </c>
      <c r="E192" s="16">
        <v>7.8E-2</v>
      </c>
      <c r="F192" s="16">
        <v>7.4999999999999997E-2</v>
      </c>
      <c r="G192" s="16">
        <v>8.1000000000000003E-2</v>
      </c>
      <c r="H192" s="16">
        <v>9.2999999999999999E-2</v>
      </c>
    </row>
    <row r="193" spans="1:8" x14ac:dyDescent="0.3">
      <c r="A193" t="s">
        <v>74</v>
      </c>
      <c r="B193" s="5" t="s">
        <v>155</v>
      </c>
      <c r="C193" s="5" t="s">
        <v>56</v>
      </c>
      <c r="D193" s="16">
        <v>7.5999999999999998E-2</v>
      </c>
      <c r="E193" s="16">
        <v>8.3000000000000004E-2</v>
      </c>
      <c r="F193" s="16">
        <v>8.4000000000000005E-2</v>
      </c>
      <c r="G193" s="16">
        <v>8.8999999999999996E-2</v>
      </c>
      <c r="H193" s="16">
        <v>8.4000000000000005E-2</v>
      </c>
    </row>
    <row r="194" spans="1:8" x14ac:dyDescent="0.3">
      <c r="A194" t="s">
        <v>75</v>
      </c>
      <c r="B194" s="5" t="s">
        <v>156</v>
      </c>
      <c r="C194" s="5" t="s">
        <v>34</v>
      </c>
      <c r="D194" s="16">
        <v>0.22600000000000001</v>
      </c>
      <c r="E194" s="16">
        <v>0.222</v>
      </c>
      <c r="F194" s="16">
        <v>0.215</v>
      </c>
      <c r="G194" s="16">
        <v>0.19700000000000001</v>
      </c>
      <c r="H194" s="16">
        <v>0.17299999999999999</v>
      </c>
    </row>
    <row r="195" spans="1:8" x14ac:dyDescent="0.3">
      <c r="A195" t="s">
        <v>75</v>
      </c>
      <c r="B195" s="5" t="s">
        <v>156</v>
      </c>
      <c r="C195" s="5" t="s">
        <v>36</v>
      </c>
      <c r="D195" s="16">
        <v>0.04</v>
      </c>
      <c r="E195" s="16">
        <v>0.03</v>
      </c>
      <c r="F195" s="16">
        <v>2.7E-2</v>
      </c>
      <c r="G195" s="16">
        <v>2.5999999999999999E-2</v>
      </c>
      <c r="H195" s="16">
        <v>2.1999999999999999E-2</v>
      </c>
    </row>
    <row r="196" spans="1:8" x14ac:dyDescent="0.3">
      <c r="A196" t="s">
        <v>75</v>
      </c>
      <c r="B196" s="5" t="s">
        <v>156</v>
      </c>
      <c r="C196" s="5" t="s">
        <v>38</v>
      </c>
      <c r="D196" s="16">
        <v>1.7999999999999999E-2</v>
      </c>
      <c r="E196" s="16">
        <v>2.3E-2</v>
      </c>
      <c r="F196" s="16">
        <v>2.7E-2</v>
      </c>
      <c r="G196" s="16">
        <v>3.5000000000000003E-2</v>
      </c>
      <c r="H196" s="16">
        <v>4.4999999999999998E-2</v>
      </c>
    </row>
    <row r="197" spans="1:8" x14ac:dyDescent="0.3">
      <c r="A197" t="s">
        <v>75</v>
      </c>
      <c r="B197" s="5" t="s">
        <v>156</v>
      </c>
      <c r="C197" s="5" t="s">
        <v>40</v>
      </c>
      <c r="D197" s="16">
        <v>0.46100000000000002</v>
      </c>
      <c r="E197" s="16">
        <v>0.435</v>
      </c>
      <c r="F197" s="16">
        <v>0.39800000000000002</v>
      </c>
      <c r="G197" s="16">
        <v>0.35499999999999998</v>
      </c>
      <c r="H197" s="16">
        <v>0.31</v>
      </c>
    </row>
    <row r="198" spans="1:8" x14ac:dyDescent="0.3">
      <c r="A198" t="s">
        <v>75</v>
      </c>
      <c r="B198" s="5" t="s">
        <v>156</v>
      </c>
      <c r="C198" s="5" t="s">
        <v>42</v>
      </c>
      <c r="D198" s="16">
        <v>2.5000000000000001E-2</v>
      </c>
      <c r="E198" s="16">
        <v>3.2000000000000001E-2</v>
      </c>
      <c r="F198" s="16">
        <v>0.03</v>
      </c>
      <c r="G198" s="16">
        <v>3.4000000000000002E-2</v>
      </c>
      <c r="H198" s="16">
        <v>3.5000000000000003E-2</v>
      </c>
    </row>
    <row r="199" spans="1:8" x14ac:dyDescent="0.3">
      <c r="A199" t="s">
        <v>75</v>
      </c>
      <c r="B199" s="5" t="s">
        <v>156</v>
      </c>
      <c r="C199" s="5" t="s">
        <v>44</v>
      </c>
      <c r="D199" s="16">
        <v>4.5999999999999999E-2</v>
      </c>
      <c r="E199" s="16">
        <v>4.8000000000000001E-2</v>
      </c>
      <c r="F199" s="16">
        <v>0.04</v>
      </c>
      <c r="G199" s="16">
        <v>4.1000000000000002E-2</v>
      </c>
      <c r="H199" s="16">
        <v>3.6999999999999998E-2</v>
      </c>
    </row>
    <row r="200" spans="1:8" x14ac:dyDescent="0.3">
      <c r="A200" t="s">
        <v>75</v>
      </c>
      <c r="B200" s="5" t="s">
        <v>156</v>
      </c>
      <c r="C200" s="5" t="s">
        <v>46</v>
      </c>
      <c r="D200" s="16">
        <v>3.9E-2</v>
      </c>
      <c r="E200" s="16">
        <v>4.3999999999999997E-2</v>
      </c>
      <c r="F200" s="16">
        <v>7.0000000000000007E-2</v>
      </c>
      <c r="G200" s="16">
        <v>9.7000000000000003E-2</v>
      </c>
      <c r="H200" s="16">
        <v>0.13200000000000001</v>
      </c>
    </row>
    <row r="201" spans="1:8" x14ac:dyDescent="0.3">
      <c r="A201" t="s">
        <v>75</v>
      </c>
      <c r="B201" s="5" t="s">
        <v>156</v>
      </c>
      <c r="C201" s="5" t="s">
        <v>48</v>
      </c>
      <c r="D201" s="16">
        <v>4.8000000000000001E-2</v>
      </c>
      <c r="E201" s="16">
        <v>5.3999999999999999E-2</v>
      </c>
      <c r="F201" s="16">
        <v>0.06</v>
      </c>
      <c r="G201" s="16">
        <v>6.4000000000000001E-2</v>
      </c>
      <c r="H201" s="16">
        <v>5.8000000000000003E-2</v>
      </c>
    </row>
    <row r="202" spans="1:8" x14ac:dyDescent="0.3">
      <c r="A202" t="s">
        <v>75</v>
      </c>
      <c r="B202" s="5" t="s">
        <v>156</v>
      </c>
      <c r="C202" s="5" t="s">
        <v>50</v>
      </c>
      <c r="D202" s="16">
        <v>3.2000000000000001E-2</v>
      </c>
      <c r="E202" s="16">
        <v>3.5999999999999997E-2</v>
      </c>
      <c r="F202" s="16">
        <v>4.4999999999999998E-2</v>
      </c>
      <c r="G202" s="16">
        <v>5.3999999999999999E-2</v>
      </c>
      <c r="H202" s="16">
        <v>7.0999999999999994E-2</v>
      </c>
    </row>
    <row r="203" spans="1:8" x14ac:dyDescent="0.3">
      <c r="A203" t="s">
        <v>75</v>
      </c>
      <c r="B203" s="5" t="s">
        <v>156</v>
      </c>
      <c r="C203" s="5" t="s">
        <v>52</v>
      </c>
      <c r="D203" s="16">
        <v>4.0000000000000001E-3</v>
      </c>
      <c r="E203" s="16">
        <v>5.0000000000000001E-3</v>
      </c>
      <c r="F203" s="16">
        <v>6.0000000000000001E-3</v>
      </c>
      <c r="G203" s="16">
        <v>7.0000000000000001E-3</v>
      </c>
      <c r="H203" s="16">
        <v>0.01</v>
      </c>
    </row>
    <row r="204" spans="1:8" x14ac:dyDescent="0.3">
      <c r="A204" t="s">
        <v>75</v>
      </c>
      <c r="B204" s="5" t="s">
        <v>156</v>
      </c>
      <c r="C204" s="5" t="s">
        <v>54</v>
      </c>
      <c r="D204" s="16">
        <v>1.2999999999999999E-2</v>
      </c>
      <c r="E204" s="16">
        <v>0.02</v>
      </c>
      <c r="F204" s="16">
        <v>2.5000000000000001E-2</v>
      </c>
      <c r="G204" s="16">
        <v>0.03</v>
      </c>
      <c r="H204" s="16">
        <v>4.1000000000000002E-2</v>
      </c>
    </row>
    <row r="205" spans="1:8" x14ac:dyDescent="0.3">
      <c r="A205" t="s">
        <v>75</v>
      </c>
      <c r="B205" s="5" t="s">
        <v>156</v>
      </c>
      <c r="C205" s="5" t="s">
        <v>56</v>
      </c>
      <c r="D205" s="16">
        <v>4.8000000000000001E-2</v>
      </c>
      <c r="E205" s="16">
        <v>5.0999999999999997E-2</v>
      </c>
      <c r="F205" s="16">
        <v>5.6000000000000001E-2</v>
      </c>
      <c r="G205" s="16">
        <v>6.0999999999999999E-2</v>
      </c>
      <c r="H205" s="16">
        <v>6.5000000000000002E-2</v>
      </c>
    </row>
    <row r="206" spans="1:8" x14ac:dyDescent="0.3">
      <c r="A206" t="s">
        <v>76</v>
      </c>
      <c r="B206" s="5" t="s">
        <v>157</v>
      </c>
      <c r="C206" s="5" t="s">
        <v>34</v>
      </c>
      <c r="D206" s="16">
        <v>0.25600000000000001</v>
      </c>
      <c r="E206" s="16">
        <v>0.251</v>
      </c>
      <c r="F206" s="16">
        <v>0.20699999999999999</v>
      </c>
      <c r="G206" s="16">
        <v>0.186</v>
      </c>
      <c r="H206" s="16">
        <v>0.161</v>
      </c>
    </row>
    <row r="207" spans="1:8" x14ac:dyDescent="0.3">
      <c r="A207" t="s">
        <v>76</v>
      </c>
      <c r="B207" s="5" t="s">
        <v>157</v>
      </c>
      <c r="C207" s="5" t="s">
        <v>36</v>
      </c>
      <c r="D207" s="16">
        <v>3.1E-2</v>
      </c>
      <c r="E207" s="16">
        <v>2.8000000000000001E-2</v>
      </c>
      <c r="F207" s="16">
        <v>2.7E-2</v>
      </c>
      <c r="G207" s="16">
        <v>2.1000000000000001E-2</v>
      </c>
      <c r="H207" s="16">
        <v>0.02</v>
      </c>
    </row>
    <row r="208" spans="1:8" x14ac:dyDescent="0.3">
      <c r="A208" t="s">
        <v>76</v>
      </c>
      <c r="B208" s="5" t="s">
        <v>157</v>
      </c>
      <c r="C208" s="5" t="s">
        <v>38</v>
      </c>
      <c r="D208" s="16">
        <v>5.6000000000000001E-2</v>
      </c>
      <c r="E208" s="16">
        <v>5.7000000000000002E-2</v>
      </c>
      <c r="F208" s="16">
        <v>8.3000000000000004E-2</v>
      </c>
      <c r="G208" s="16">
        <v>8.6999999999999994E-2</v>
      </c>
      <c r="H208" s="16">
        <v>8.6999999999999994E-2</v>
      </c>
    </row>
    <row r="209" spans="1:8" x14ac:dyDescent="0.3">
      <c r="A209" t="s">
        <v>76</v>
      </c>
      <c r="B209" s="5" t="s">
        <v>157</v>
      </c>
      <c r="C209" s="5" t="s">
        <v>40</v>
      </c>
      <c r="D209" s="16">
        <v>0.16200000000000001</v>
      </c>
      <c r="E209" s="16">
        <v>0.109</v>
      </c>
      <c r="F209" s="16">
        <v>8.1000000000000003E-2</v>
      </c>
      <c r="G209" s="16">
        <v>6.6000000000000003E-2</v>
      </c>
      <c r="H209" s="16">
        <v>6.3E-2</v>
      </c>
    </row>
    <row r="210" spans="1:8" x14ac:dyDescent="0.3">
      <c r="A210" t="s">
        <v>76</v>
      </c>
      <c r="B210" s="5" t="s">
        <v>157</v>
      </c>
      <c r="C210" s="5" t="s">
        <v>42</v>
      </c>
      <c r="D210" s="16">
        <v>6.9000000000000006E-2</v>
      </c>
      <c r="E210" s="16">
        <v>7.0000000000000007E-2</v>
      </c>
      <c r="F210" s="16">
        <v>7.1999999999999995E-2</v>
      </c>
      <c r="G210" s="16">
        <v>7.1999999999999995E-2</v>
      </c>
      <c r="H210" s="16">
        <v>0.08</v>
      </c>
    </row>
    <row r="211" spans="1:8" x14ac:dyDescent="0.3">
      <c r="A211" t="s">
        <v>76</v>
      </c>
      <c r="B211" s="5" t="s">
        <v>157</v>
      </c>
      <c r="C211" s="5" t="s">
        <v>44</v>
      </c>
      <c r="D211" s="16">
        <v>6.7000000000000004E-2</v>
      </c>
      <c r="E211" s="16">
        <v>7.1999999999999995E-2</v>
      </c>
      <c r="F211" s="16">
        <v>5.8999999999999997E-2</v>
      </c>
      <c r="G211" s="16">
        <v>5.6000000000000001E-2</v>
      </c>
      <c r="H211" s="16">
        <v>4.3999999999999997E-2</v>
      </c>
    </row>
    <row r="212" spans="1:8" x14ac:dyDescent="0.3">
      <c r="A212" t="s">
        <v>76</v>
      </c>
      <c r="B212" s="5" t="s">
        <v>157</v>
      </c>
      <c r="C212" s="5" t="s">
        <v>46</v>
      </c>
      <c r="D212" s="16">
        <v>9.0999999999999998E-2</v>
      </c>
      <c r="E212" s="16">
        <v>0.106</v>
      </c>
      <c r="F212" s="16">
        <v>0.13700000000000001</v>
      </c>
      <c r="G212" s="16">
        <v>0.14299999999999999</v>
      </c>
      <c r="H212" s="16">
        <v>0.17599999999999999</v>
      </c>
    </row>
    <row r="213" spans="1:8" x14ac:dyDescent="0.3">
      <c r="A213" t="s">
        <v>76</v>
      </c>
      <c r="B213" s="5" t="s">
        <v>157</v>
      </c>
      <c r="C213" s="5" t="s">
        <v>48</v>
      </c>
      <c r="D213" s="16">
        <v>4.7E-2</v>
      </c>
      <c r="E213" s="16">
        <v>5.0999999999999997E-2</v>
      </c>
      <c r="F213" s="16">
        <v>4.4999999999999998E-2</v>
      </c>
      <c r="G213" s="16">
        <v>4.2000000000000003E-2</v>
      </c>
      <c r="H213" s="16">
        <v>3.9E-2</v>
      </c>
    </row>
    <row r="214" spans="1:8" x14ac:dyDescent="0.3">
      <c r="A214" t="s">
        <v>76</v>
      </c>
      <c r="B214" s="5" t="s">
        <v>157</v>
      </c>
      <c r="C214" s="5" t="s">
        <v>50</v>
      </c>
      <c r="D214" s="16">
        <v>5.8000000000000003E-2</v>
      </c>
      <c r="E214" s="16">
        <v>6.8000000000000005E-2</v>
      </c>
      <c r="F214" s="16">
        <v>7.9000000000000001E-2</v>
      </c>
      <c r="G214" s="16">
        <v>0.10199999999999999</v>
      </c>
      <c r="H214" s="16">
        <v>7.8E-2</v>
      </c>
    </row>
    <row r="215" spans="1:8" x14ac:dyDescent="0.3">
      <c r="A215" t="s">
        <v>76</v>
      </c>
      <c r="B215" s="5" t="s">
        <v>157</v>
      </c>
      <c r="C215" s="5" t="s">
        <v>52</v>
      </c>
      <c r="D215" s="16">
        <v>8.9999999999999993E-3</v>
      </c>
      <c r="E215" s="16">
        <v>2.1000000000000001E-2</v>
      </c>
      <c r="F215" s="16">
        <v>2.3E-2</v>
      </c>
      <c r="G215" s="16">
        <v>3.3000000000000002E-2</v>
      </c>
      <c r="H215" s="16">
        <v>3.5999999999999997E-2</v>
      </c>
    </row>
    <row r="216" spans="1:8" x14ac:dyDescent="0.3">
      <c r="A216" t="s">
        <v>76</v>
      </c>
      <c r="B216" s="5" t="s">
        <v>157</v>
      </c>
      <c r="C216" s="5" t="s">
        <v>54</v>
      </c>
      <c r="D216" s="16">
        <v>6.9000000000000006E-2</v>
      </c>
      <c r="E216" s="16">
        <v>7.4999999999999997E-2</v>
      </c>
      <c r="F216" s="16">
        <v>8.5000000000000006E-2</v>
      </c>
      <c r="G216" s="16">
        <v>8.4000000000000005E-2</v>
      </c>
      <c r="H216" s="16">
        <v>8.8999999999999996E-2</v>
      </c>
    </row>
    <row r="217" spans="1:8" x14ac:dyDescent="0.3">
      <c r="A217" t="s">
        <v>76</v>
      </c>
      <c r="B217" s="5" t="s">
        <v>157</v>
      </c>
      <c r="C217" s="5" t="s">
        <v>56</v>
      </c>
      <c r="D217" s="16">
        <v>8.5000000000000006E-2</v>
      </c>
      <c r="E217" s="16">
        <v>0.09</v>
      </c>
      <c r="F217" s="16">
        <v>0.104</v>
      </c>
      <c r="G217" s="16">
        <v>0.109</v>
      </c>
      <c r="H217" s="16">
        <v>0.126</v>
      </c>
    </row>
    <row r="218" spans="1:8" x14ac:dyDescent="0.3">
      <c r="A218" t="s">
        <v>77</v>
      </c>
      <c r="B218" s="5" t="s">
        <v>158</v>
      </c>
      <c r="C218" s="5" t="s">
        <v>34</v>
      </c>
      <c r="D218" s="16">
        <v>0.10479041916167664</v>
      </c>
      <c r="E218" s="16">
        <v>0.11077844311377245</v>
      </c>
      <c r="F218" s="16">
        <v>0.10778443113772455</v>
      </c>
      <c r="G218" s="16">
        <v>0.10778443113772455</v>
      </c>
      <c r="H218" s="16">
        <v>0.10179640718562874</v>
      </c>
    </row>
    <row r="219" spans="1:8" x14ac:dyDescent="0.3">
      <c r="A219" t="s">
        <v>77</v>
      </c>
      <c r="B219" s="5" t="s">
        <v>158</v>
      </c>
      <c r="C219" s="5" t="s">
        <v>36</v>
      </c>
      <c r="D219" s="16">
        <v>4.0918163672654689E-2</v>
      </c>
      <c r="E219" s="16">
        <v>3.6926147704590816E-2</v>
      </c>
      <c r="F219" s="16">
        <v>3.0938123752495009E-2</v>
      </c>
      <c r="G219" s="16">
        <v>2.6946107784431138E-2</v>
      </c>
      <c r="H219" s="16">
        <v>1.9960079840319361E-2</v>
      </c>
    </row>
    <row r="220" spans="1:8" x14ac:dyDescent="0.3">
      <c r="A220" t="s">
        <v>77</v>
      </c>
      <c r="B220" s="5" t="s">
        <v>158</v>
      </c>
      <c r="C220" s="5" t="s">
        <v>38</v>
      </c>
      <c r="D220" s="16">
        <v>3.4930139720558882E-2</v>
      </c>
      <c r="E220" s="16">
        <v>3.7924151696606789E-2</v>
      </c>
      <c r="F220" s="16">
        <v>4.0918163672654689E-2</v>
      </c>
      <c r="G220" s="16">
        <v>4.790419161676647E-2</v>
      </c>
      <c r="H220" s="16">
        <v>5.289421157684631E-2</v>
      </c>
    </row>
    <row r="221" spans="1:8" x14ac:dyDescent="0.3">
      <c r="A221" t="s">
        <v>77</v>
      </c>
      <c r="B221" s="5" t="s">
        <v>158</v>
      </c>
      <c r="C221" s="5" t="s">
        <v>40</v>
      </c>
      <c r="D221" s="16">
        <v>0.3902195608782435</v>
      </c>
      <c r="E221" s="16">
        <v>0.3592814371257485</v>
      </c>
      <c r="F221" s="16">
        <v>0.32834331337325351</v>
      </c>
      <c r="G221" s="16">
        <v>0.29041916167664672</v>
      </c>
      <c r="H221" s="16">
        <v>0.24151696606786427</v>
      </c>
    </row>
    <row r="222" spans="1:8" x14ac:dyDescent="0.3">
      <c r="A222" t="s">
        <v>77</v>
      </c>
      <c r="B222" s="5" t="s">
        <v>158</v>
      </c>
      <c r="C222" s="5" t="s">
        <v>42</v>
      </c>
      <c r="D222" s="16">
        <v>3.5928143712574849E-2</v>
      </c>
      <c r="E222" s="16">
        <v>4.590818363273453E-2</v>
      </c>
      <c r="F222" s="16">
        <v>5.089820359281437E-2</v>
      </c>
      <c r="G222" s="16">
        <v>5.089820359281437E-2</v>
      </c>
      <c r="H222" s="16">
        <v>5.9880239520958084E-2</v>
      </c>
    </row>
    <row r="223" spans="1:8" x14ac:dyDescent="0.3">
      <c r="A223" t="s">
        <v>77</v>
      </c>
      <c r="B223" s="5" t="s">
        <v>158</v>
      </c>
      <c r="C223" s="5" t="s">
        <v>44</v>
      </c>
      <c r="D223" s="16">
        <v>1.0978043912175649E-2</v>
      </c>
      <c r="E223" s="16">
        <v>1.3972055888223553E-2</v>
      </c>
      <c r="F223" s="16">
        <v>1.3972055888223553E-2</v>
      </c>
      <c r="G223" s="16">
        <v>1.1976047904191617E-2</v>
      </c>
      <c r="H223" s="16">
        <v>1.2974051896207584E-2</v>
      </c>
    </row>
    <row r="224" spans="1:8" x14ac:dyDescent="0.3">
      <c r="A224" t="s">
        <v>77</v>
      </c>
      <c r="B224" s="5" t="s">
        <v>158</v>
      </c>
      <c r="C224" s="5" t="s">
        <v>46</v>
      </c>
      <c r="D224" s="16">
        <v>6.9860279441117765E-2</v>
      </c>
      <c r="E224" s="16">
        <v>8.6826347305389226E-2</v>
      </c>
      <c r="F224" s="16">
        <v>0.11377245508982035</v>
      </c>
      <c r="G224" s="16">
        <v>0.1317365269461078</v>
      </c>
      <c r="H224" s="16">
        <v>0.16367265469061876</v>
      </c>
    </row>
    <row r="225" spans="1:8" x14ac:dyDescent="0.3">
      <c r="A225" t="s">
        <v>77</v>
      </c>
      <c r="B225" s="5" t="s">
        <v>158</v>
      </c>
      <c r="C225" s="5" t="s">
        <v>48</v>
      </c>
      <c r="D225" s="16">
        <v>3.8922155688622756E-2</v>
      </c>
      <c r="E225" s="16">
        <v>3.6926147704590816E-2</v>
      </c>
      <c r="F225" s="16">
        <v>3.3932135728542916E-2</v>
      </c>
      <c r="G225" s="16">
        <v>3.1936127744510975E-2</v>
      </c>
      <c r="H225" s="16">
        <v>2.5948103792415168E-2</v>
      </c>
    </row>
    <row r="226" spans="1:8" x14ac:dyDescent="0.3">
      <c r="A226" t="s">
        <v>77</v>
      </c>
      <c r="B226" s="5" t="s">
        <v>158</v>
      </c>
      <c r="C226" s="5" t="s">
        <v>50</v>
      </c>
      <c r="D226" s="16">
        <v>6.5868263473053898E-2</v>
      </c>
      <c r="E226" s="16">
        <v>7.4850299401197598E-2</v>
      </c>
      <c r="F226" s="16">
        <v>7.7844311377245512E-2</v>
      </c>
      <c r="G226" s="16">
        <v>8.6826347305389226E-2</v>
      </c>
      <c r="H226" s="16">
        <v>9.580838323353294E-2</v>
      </c>
    </row>
    <row r="227" spans="1:8" x14ac:dyDescent="0.3">
      <c r="A227" t="s">
        <v>77</v>
      </c>
      <c r="B227" s="5" t="s">
        <v>158</v>
      </c>
      <c r="C227" s="5" t="s">
        <v>52</v>
      </c>
      <c r="D227" s="16">
        <v>2.3952095808383235E-2</v>
      </c>
      <c r="E227" s="16">
        <v>8.9820359281437123E-3</v>
      </c>
      <c r="F227" s="16">
        <v>8.9820359281437123E-3</v>
      </c>
      <c r="G227" s="16">
        <v>1.0978043912175649E-2</v>
      </c>
      <c r="H227" s="16">
        <v>1.4970059880239521E-2</v>
      </c>
    </row>
    <row r="228" spans="1:8" x14ac:dyDescent="0.3">
      <c r="A228" t="s">
        <v>77</v>
      </c>
      <c r="B228" s="5" t="s">
        <v>158</v>
      </c>
      <c r="C228" s="5" t="s">
        <v>54</v>
      </c>
      <c r="D228" s="16">
        <v>4.6906187624750496E-2</v>
      </c>
      <c r="E228" s="16">
        <v>4.291417165668663E-2</v>
      </c>
      <c r="F228" s="16">
        <v>4.9900199600798403E-2</v>
      </c>
      <c r="G228" s="16">
        <v>5.7884231536926151E-2</v>
      </c>
      <c r="H228" s="16">
        <v>7.0858283433133731E-2</v>
      </c>
    </row>
    <row r="229" spans="1:8" x14ac:dyDescent="0.3">
      <c r="A229" t="s">
        <v>77</v>
      </c>
      <c r="B229" s="5" t="s">
        <v>158</v>
      </c>
      <c r="C229" s="5" t="s">
        <v>56</v>
      </c>
      <c r="D229" s="16">
        <v>0.13672654690618763</v>
      </c>
      <c r="E229" s="16">
        <v>0.14271457085828343</v>
      </c>
      <c r="F229" s="16">
        <v>0.1407185628742515</v>
      </c>
      <c r="G229" s="16">
        <v>0.14271457085828343</v>
      </c>
      <c r="H229" s="16">
        <v>0.13572854291417166</v>
      </c>
    </row>
    <row r="230" spans="1:8" x14ac:dyDescent="0.3">
      <c r="A230" t="s">
        <v>79</v>
      </c>
      <c r="B230" s="5" t="s">
        <v>160</v>
      </c>
      <c r="C230" s="5" t="s">
        <v>34</v>
      </c>
      <c r="D230" s="16">
        <v>0.23723723723723725</v>
      </c>
      <c r="E230" s="16">
        <v>0.23623623623623624</v>
      </c>
      <c r="F230" s="16">
        <v>0.22922922922922923</v>
      </c>
      <c r="G230" s="16">
        <v>0.21621621621621623</v>
      </c>
      <c r="H230" s="16">
        <v>0.17817817817817819</v>
      </c>
    </row>
    <row r="231" spans="1:8" x14ac:dyDescent="0.3">
      <c r="A231" t="s">
        <v>79</v>
      </c>
      <c r="B231" s="5" t="s">
        <v>160</v>
      </c>
      <c r="C231" s="5" t="s">
        <v>36</v>
      </c>
      <c r="D231" s="16">
        <v>2.1021021021021023E-2</v>
      </c>
      <c r="E231" s="16">
        <v>2.2022022022022022E-2</v>
      </c>
      <c r="F231" s="16">
        <v>2.3023023023023025E-2</v>
      </c>
      <c r="G231" s="16">
        <v>2.2022022022022022E-2</v>
      </c>
      <c r="H231" s="16">
        <v>2.1021021021021023E-2</v>
      </c>
    </row>
    <row r="232" spans="1:8" x14ac:dyDescent="0.3">
      <c r="A232" t="s">
        <v>79</v>
      </c>
      <c r="B232" s="5" t="s">
        <v>160</v>
      </c>
      <c r="C232" s="5" t="s">
        <v>38</v>
      </c>
      <c r="D232" s="16">
        <v>3.1031031031031032E-2</v>
      </c>
      <c r="E232" s="16">
        <v>3.6036036036036036E-2</v>
      </c>
      <c r="F232" s="16">
        <v>4.3043043043043044E-2</v>
      </c>
      <c r="G232" s="16">
        <v>5.0050050050050053E-2</v>
      </c>
      <c r="H232" s="16">
        <v>5.905905905905906E-2</v>
      </c>
    </row>
    <row r="233" spans="1:8" x14ac:dyDescent="0.3">
      <c r="A233" t="s">
        <v>79</v>
      </c>
      <c r="B233" s="5" t="s">
        <v>160</v>
      </c>
      <c r="C233" s="5" t="s">
        <v>40</v>
      </c>
      <c r="D233" s="16">
        <v>0.42442442442442441</v>
      </c>
      <c r="E233" s="16">
        <v>0.4014014014014014</v>
      </c>
      <c r="F233" s="16">
        <v>0.36036036036036034</v>
      </c>
      <c r="G233" s="16">
        <v>0.32832832832832831</v>
      </c>
      <c r="H233" s="16">
        <v>0.28328328328328328</v>
      </c>
    </row>
    <row r="234" spans="1:8" x14ac:dyDescent="0.3">
      <c r="A234" t="s">
        <v>79</v>
      </c>
      <c r="B234" s="5" t="s">
        <v>160</v>
      </c>
      <c r="C234" s="5" t="s">
        <v>42</v>
      </c>
      <c r="D234" s="16">
        <v>3.3033033033033031E-2</v>
      </c>
      <c r="E234" s="16">
        <v>3.5035035035035036E-2</v>
      </c>
      <c r="F234" s="16">
        <v>4.1041041041041039E-2</v>
      </c>
      <c r="G234" s="16">
        <v>4.4044044044044044E-2</v>
      </c>
      <c r="H234" s="16">
        <v>5.3053053053053051E-2</v>
      </c>
    </row>
    <row r="235" spans="1:8" x14ac:dyDescent="0.3">
      <c r="A235" t="s">
        <v>79</v>
      </c>
      <c r="B235" s="5" t="s">
        <v>160</v>
      </c>
      <c r="C235" s="5" t="s">
        <v>44</v>
      </c>
      <c r="D235" s="16">
        <v>5.1051051051051052E-2</v>
      </c>
      <c r="E235" s="16">
        <v>4.9049049049049047E-2</v>
      </c>
      <c r="F235" s="16">
        <v>4.7047047047047048E-2</v>
      </c>
      <c r="G235" s="16">
        <v>4.5045045045045043E-2</v>
      </c>
      <c r="H235" s="16">
        <v>4.4044044044044044E-2</v>
      </c>
    </row>
    <row r="236" spans="1:8" x14ac:dyDescent="0.3">
      <c r="A236" t="s">
        <v>79</v>
      </c>
      <c r="B236" s="5" t="s">
        <v>160</v>
      </c>
      <c r="C236" s="5" t="s">
        <v>46</v>
      </c>
      <c r="D236" s="16">
        <v>4.1041041041041039E-2</v>
      </c>
      <c r="E236" s="16">
        <v>5.1051051051051052E-2</v>
      </c>
      <c r="F236" s="16">
        <v>6.8068068068068074E-2</v>
      </c>
      <c r="G236" s="16">
        <v>8.3083083083083084E-2</v>
      </c>
      <c r="H236" s="16">
        <v>0.1011011011011011</v>
      </c>
    </row>
    <row r="237" spans="1:8" x14ac:dyDescent="0.3">
      <c r="A237" t="s">
        <v>79</v>
      </c>
      <c r="B237" s="5" t="s">
        <v>160</v>
      </c>
      <c r="C237" s="5" t="s">
        <v>48</v>
      </c>
      <c r="D237" s="16">
        <v>3.903903903903904E-2</v>
      </c>
      <c r="E237" s="16">
        <v>4.6046046046046049E-2</v>
      </c>
      <c r="F237" s="16">
        <v>4.8048048048048048E-2</v>
      </c>
      <c r="G237" s="16">
        <v>4.8048048048048048E-2</v>
      </c>
      <c r="H237" s="16">
        <v>4.1041041041041039E-2</v>
      </c>
    </row>
    <row r="238" spans="1:8" x14ac:dyDescent="0.3">
      <c r="A238" t="s">
        <v>79</v>
      </c>
      <c r="B238" s="5" t="s">
        <v>160</v>
      </c>
      <c r="C238" s="5" t="s">
        <v>50</v>
      </c>
      <c r="D238" s="16">
        <v>3.8038038038038041E-2</v>
      </c>
      <c r="E238" s="16">
        <v>4.004004004004004E-2</v>
      </c>
      <c r="F238" s="16">
        <v>4.9049049049049047E-2</v>
      </c>
      <c r="G238" s="16">
        <v>5.7057057057057055E-2</v>
      </c>
      <c r="H238" s="16">
        <v>8.1081081081081086E-2</v>
      </c>
    </row>
    <row r="239" spans="1:8" x14ac:dyDescent="0.3">
      <c r="A239" t="s">
        <v>79</v>
      </c>
      <c r="B239" s="5" t="s">
        <v>160</v>
      </c>
      <c r="C239" s="5" t="s">
        <v>52</v>
      </c>
      <c r="D239" s="16">
        <v>3.003003003003003E-3</v>
      </c>
      <c r="E239" s="16">
        <v>3.003003003003003E-3</v>
      </c>
      <c r="F239" s="16">
        <v>5.005005005005005E-3</v>
      </c>
      <c r="G239" s="16">
        <v>8.0080080080080079E-3</v>
      </c>
      <c r="H239" s="16">
        <v>1.6016016016016016E-2</v>
      </c>
    </row>
    <row r="240" spans="1:8" x14ac:dyDescent="0.3">
      <c r="A240" t="s">
        <v>79</v>
      </c>
      <c r="B240" s="5" t="s">
        <v>160</v>
      </c>
      <c r="C240" s="5" t="s">
        <v>54</v>
      </c>
      <c r="D240" s="16">
        <v>4.004004004004004E-2</v>
      </c>
      <c r="E240" s="16">
        <v>3.3033033033033031E-2</v>
      </c>
      <c r="F240" s="16">
        <v>3.1031031031031032E-2</v>
      </c>
      <c r="G240" s="16">
        <v>3.2032032032032032E-2</v>
      </c>
      <c r="H240" s="16">
        <v>4.3043043043043044E-2</v>
      </c>
    </row>
    <row r="241" spans="1:8" x14ac:dyDescent="0.3">
      <c r="A241" t="s">
        <v>79</v>
      </c>
      <c r="B241" s="5" t="s">
        <v>160</v>
      </c>
      <c r="C241" s="5" t="s">
        <v>56</v>
      </c>
      <c r="D241" s="16">
        <v>4.1041041041041039E-2</v>
      </c>
      <c r="E241" s="16">
        <v>4.7047047047047048E-2</v>
      </c>
      <c r="F241" s="16">
        <v>5.6056056056056056E-2</v>
      </c>
      <c r="G241" s="16">
        <v>6.7067067067067068E-2</v>
      </c>
      <c r="H241" s="16">
        <v>8.0080080080080079E-2</v>
      </c>
    </row>
    <row r="242" spans="1:8" x14ac:dyDescent="0.3">
      <c r="A242" t="s">
        <v>80</v>
      </c>
      <c r="B242" s="5" t="s">
        <v>161</v>
      </c>
      <c r="C242" s="5" t="s">
        <v>34</v>
      </c>
      <c r="D242" s="16">
        <v>0.18263473053892215</v>
      </c>
      <c r="E242" s="16">
        <v>0.16766467065868262</v>
      </c>
      <c r="F242" s="16">
        <v>0.15568862275449102</v>
      </c>
      <c r="G242" s="16">
        <v>0.1437125748502994</v>
      </c>
      <c r="H242" s="16">
        <v>0.1157684630738523</v>
      </c>
    </row>
    <row r="243" spans="1:8" x14ac:dyDescent="0.3">
      <c r="A243" t="s">
        <v>80</v>
      </c>
      <c r="B243" s="5" t="s">
        <v>161</v>
      </c>
      <c r="C243" s="5" t="s">
        <v>36</v>
      </c>
      <c r="D243" s="16">
        <v>1.9960079840319361E-2</v>
      </c>
      <c r="E243" s="16">
        <v>1.9960079840319361E-2</v>
      </c>
      <c r="F243" s="16">
        <v>1.6966067864271458E-2</v>
      </c>
      <c r="G243" s="16">
        <v>1.4970059880239521E-2</v>
      </c>
      <c r="H243" s="16">
        <v>1.1976047904191617E-2</v>
      </c>
    </row>
    <row r="244" spans="1:8" x14ac:dyDescent="0.3">
      <c r="A244" t="s">
        <v>80</v>
      </c>
      <c r="B244" s="5" t="s">
        <v>161</v>
      </c>
      <c r="C244" s="5" t="s">
        <v>38</v>
      </c>
      <c r="D244" s="16">
        <v>1.9960079840319361E-2</v>
      </c>
      <c r="E244" s="16">
        <v>2.6946107784431138E-2</v>
      </c>
      <c r="F244" s="16">
        <v>3.0938123752495009E-2</v>
      </c>
      <c r="G244" s="16">
        <v>3.5928143712574849E-2</v>
      </c>
      <c r="H244" s="16">
        <v>4.291417165668663E-2</v>
      </c>
    </row>
    <row r="245" spans="1:8" x14ac:dyDescent="0.3">
      <c r="A245" t="s">
        <v>80</v>
      </c>
      <c r="B245" s="5" t="s">
        <v>161</v>
      </c>
      <c r="C245" s="5" t="s">
        <v>40</v>
      </c>
      <c r="D245" s="16">
        <v>0.3902195608782435</v>
      </c>
      <c r="E245" s="16">
        <v>0.36127744510978044</v>
      </c>
      <c r="F245" s="16">
        <v>0.33133732534930138</v>
      </c>
      <c r="G245" s="16">
        <v>0.31237524950099799</v>
      </c>
      <c r="H245" s="16">
        <v>0.28143712574850299</v>
      </c>
    </row>
    <row r="246" spans="1:8" x14ac:dyDescent="0.3">
      <c r="A246" t="s">
        <v>80</v>
      </c>
      <c r="B246" s="5" t="s">
        <v>161</v>
      </c>
      <c r="C246" s="5" t="s">
        <v>42</v>
      </c>
      <c r="D246" s="16">
        <v>3.2934131736526949E-2</v>
      </c>
      <c r="E246" s="16">
        <v>3.1936127744510975E-2</v>
      </c>
      <c r="F246" s="16">
        <v>3.2934131736526949E-2</v>
      </c>
      <c r="G246" s="16">
        <v>3.5928143712574849E-2</v>
      </c>
      <c r="H246" s="16">
        <v>4.9900199600798403E-2</v>
      </c>
    </row>
    <row r="247" spans="1:8" x14ac:dyDescent="0.3">
      <c r="A247" t="s">
        <v>80</v>
      </c>
      <c r="B247" s="5" t="s">
        <v>161</v>
      </c>
      <c r="C247" s="5" t="s">
        <v>44</v>
      </c>
      <c r="D247" s="16">
        <v>7.6846307385229545E-2</v>
      </c>
      <c r="E247" s="16">
        <v>6.2874251497005984E-2</v>
      </c>
      <c r="F247" s="16">
        <v>5.4890219560878244E-2</v>
      </c>
      <c r="G247" s="16">
        <v>5.3892215568862277E-2</v>
      </c>
      <c r="H247" s="16">
        <v>4.6906187624750496E-2</v>
      </c>
    </row>
    <row r="248" spans="1:8" x14ac:dyDescent="0.3">
      <c r="A248" t="s">
        <v>80</v>
      </c>
      <c r="B248" s="5" t="s">
        <v>161</v>
      </c>
      <c r="C248" s="5" t="s">
        <v>46</v>
      </c>
      <c r="D248" s="16">
        <v>8.3832335329341312E-2</v>
      </c>
      <c r="E248" s="16">
        <v>0.11776447105788423</v>
      </c>
      <c r="F248" s="16">
        <v>0.14171656686626746</v>
      </c>
      <c r="G248" s="16">
        <v>0.14770459081836326</v>
      </c>
      <c r="H248" s="16">
        <v>0.15868263473053892</v>
      </c>
    </row>
    <row r="249" spans="1:8" x14ac:dyDescent="0.3">
      <c r="A249" t="s">
        <v>80</v>
      </c>
      <c r="B249" s="5" t="s">
        <v>161</v>
      </c>
      <c r="C249" s="5" t="s">
        <v>48</v>
      </c>
      <c r="D249" s="16">
        <v>3.6926147704590816E-2</v>
      </c>
      <c r="E249" s="16">
        <v>3.6926147704590816E-2</v>
      </c>
      <c r="F249" s="16">
        <v>3.6926147704590816E-2</v>
      </c>
      <c r="G249" s="16">
        <v>3.2934131736526949E-2</v>
      </c>
      <c r="H249" s="16">
        <v>2.6946107784431138E-2</v>
      </c>
    </row>
    <row r="250" spans="1:8" x14ac:dyDescent="0.3">
      <c r="A250" t="s">
        <v>80</v>
      </c>
      <c r="B250" s="5" t="s">
        <v>161</v>
      </c>
      <c r="C250" s="5" t="s">
        <v>50</v>
      </c>
      <c r="D250" s="16">
        <v>2.5948103792415168E-2</v>
      </c>
      <c r="E250" s="16">
        <v>2.8942115768463075E-2</v>
      </c>
      <c r="F250" s="16">
        <v>3.5928143712574849E-2</v>
      </c>
      <c r="G250" s="16">
        <v>4.0918163672654689E-2</v>
      </c>
      <c r="H250" s="16">
        <v>5.289421157684631E-2</v>
      </c>
    </row>
    <row r="251" spans="1:8" x14ac:dyDescent="0.3">
      <c r="A251" t="s">
        <v>80</v>
      </c>
      <c r="B251" s="5" t="s">
        <v>161</v>
      </c>
      <c r="C251" s="5" t="s">
        <v>52</v>
      </c>
      <c r="D251" s="16">
        <v>5.9880239520958087E-3</v>
      </c>
      <c r="E251" s="16">
        <v>1.0978043912175649E-2</v>
      </c>
      <c r="F251" s="16">
        <v>1.5968063872255488E-2</v>
      </c>
      <c r="G251" s="16">
        <v>2.1956087824351298E-2</v>
      </c>
      <c r="H251" s="16">
        <v>3.3932135728542916E-2</v>
      </c>
    </row>
    <row r="252" spans="1:8" x14ac:dyDescent="0.3">
      <c r="A252" t="s">
        <v>80</v>
      </c>
      <c r="B252" s="5" t="s">
        <v>161</v>
      </c>
      <c r="C252" s="5" t="s">
        <v>54</v>
      </c>
      <c r="D252" s="16">
        <v>6.1876247504990017E-2</v>
      </c>
      <c r="E252" s="16">
        <v>7.4850299401197598E-2</v>
      </c>
      <c r="F252" s="16">
        <v>7.7844311377245512E-2</v>
      </c>
      <c r="G252" s="16">
        <v>8.6826347305389226E-2</v>
      </c>
      <c r="H252" s="16">
        <v>0.10479041916167664</v>
      </c>
    </row>
    <row r="253" spans="1:8" x14ac:dyDescent="0.3">
      <c r="A253" t="s">
        <v>80</v>
      </c>
      <c r="B253" s="5" t="s">
        <v>161</v>
      </c>
      <c r="C253" s="5" t="s">
        <v>56</v>
      </c>
      <c r="D253" s="16">
        <v>6.2874251497005984E-2</v>
      </c>
      <c r="E253" s="16">
        <v>5.8882235528942117E-2</v>
      </c>
      <c r="F253" s="16">
        <v>6.5868263473053898E-2</v>
      </c>
      <c r="G253" s="16">
        <v>6.9860279441117765E-2</v>
      </c>
      <c r="H253" s="16">
        <v>7.0858283433133731E-2</v>
      </c>
    </row>
    <row r="254" spans="1:8" x14ac:dyDescent="0.3">
      <c r="A254" t="s">
        <v>81</v>
      </c>
      <c r="B254" s="5" t="s">
        <v>162</v>
      </c>
      <c r="C254" s="5" t="s">
        <v>34</v>
      </c>
      <c r="D254" s="16">
        <v>0.38600000000000001</v>
      </c>
      <c r="E254" s="16">
        <v>0.34100000000000003</v>
      </c>
      <c r="F254" s="16">
        <v>0.318</v>
      </c>
      <c r="G254" s="16">
        <v>0.29199999999999998</v>
      </c>
      <c r="H254" s="16">
        <v>0.26</v>
      </c>
    </row>
    <row r="255" spans="1:8" x14ac:dyDescent="0.3">
      <c r="A255" t="s">
        <v>81</v>
      </c>
      <c r="B255" s="5" t="s">
        <v>162</v>
      </c>
      <c r="C255" s="5" t="s">
        <v>36</v>
      </c>
      <c r="D255" s="16">
        <v>4.5999999999999999E-2</v>
      </c>
      <c r="E255" s="16">
        <v>5.3999999999999999E-2</v>
      </c>
      <c r="F255" s="16">
        <v>6.2E-2</v>
      </c>
      <c r="G255" s="16">
        <v>6.5000000000000002E-2</v>
      </c>
      <c r="H255" s="16">
        <v>6.6000000000000003E-2</v>
      </c>
    </row>
    <row r="256" spans="1:8" x14ac:dyDescent="0.3">
      <c r="A256" t="s">
        <v>81</v>
      </c>
      <c r="B256" s="5" t="s">
        <v>162</v>
      </c>
      <c r="C256" s="5" t="s">
        <v>38</v>
      </c>
      <c r="D256" s="16">
        <v>2.4E-2</v>
      </c>
      <c r="E256" s="16">
        <v>0.03</v>
      </c>
      <c r="F256" s="16">
        <v>3.7999999999999999E-2</v>
      </c>
      <c r="G256" s="16">
        <v>4.7E-2</v>
      </c>
      <c r="H256" s="16">
        <v>5.8999999999999997E-2</v>
      </c>
    </row>
    <row r="257" spans="1:8" x14ac:dyDescent="0.3">
      <c r="A257" t="s">
        <v>81</v>
      </c>
      <c r="B257" s="5" t="s">
        <v>162</v>
      </c>
      <c r="C257" s="5" t="s">
        <v>40</v>
      </c>
      <c r="D257" s="16">
        <v>0.38</v>
      </c>
      <c r="E257" s="16">
        <v>0.39300000000000002</v>
      </c>
      <c r="F257" s="16">
        <v>0.373</v>
      </c>
      <c r="G257" s="16">
        <v>0.35799999999999998</v>
      </c>
      <c r="H257" s="16">
        <v>0.317</v>
      </c>
    </row>
    <row r="258" spans="1:8" x14ac:dyDescent="0.3">
      <c r="A258" t="s">
        <v>81</v>
      </c>
      <c r="B258" s="5" t="s">
        <v>162</v>
      </c>
      <c r="C258" s="5" t="s">
        <v>42</v>
      </c>
      <c r="D258" s="16">
        <v>2.5000000000000001E-2</v>
      </c>
      <c r="E258" s="16">
        <v>2.8000000000000001E-2</v>
      </c>
      <c r="F258" s="16">
        <v>3.2000000000000001E-2</v>
      </c>
      <c r="G258" s="16">
        <v>3.2000000000000001E-2</v>
      </c>
      <c r="H258" s="16">
        <v>3.7999999999999999E-2</v>
      </c>
    </row>
    <row r="259" spans="1:8" x14ac:dyDescent="0.3">
      <c r="A259" t="s">
        <v>81</v>
      </c>
      <c r="B259" s="5" t="s">
        <v>162</v>
      </c>
      <c r="C259" s="5" t="s">
        <v>44</v>
      </c>
      <c r="D259" s="16">
        <v>4.4999999999999998E-2</v>
      </c>
      <c r="E259" s="16">
        <v>4.1000000000000002E-2</v>
      </c>
      <c r="F259" s="16">
        <v>0.04</v>
      </c>
      <c r="G259" s="16">
        <v>3.5000000000000003E-2</v>
      </c>
      <c r="H259" s="16">
        <v>3.6999999999999998E-2</v>
      </c>
    </row>
    <row r="260" spans="1:8" x14ac:dyDescent="0.3">
      <c r="A260" t="s">
        <v>81</v>
      </c>
      <c r="B260" s="5" t="s">
        <v>162</v>
      </c>
      <c r="C260" s="5" t="s">
        <v>46</v>
      </c>
      <c r="D260" s="16">
        <v>1.4E-2</v>
      </c>
      <c r="E260" s="16">
        <v>2.4E-2</v>
      </c>
      <c r="F260" s="16">
        <v>3.6999999999999998E-2</v>
      </c>
      <c r="G260" s="16">
        <v>5.6000000000000001E-2</v>
      </c>
      <c r="H260" s="16">
        <v>7.0999999999999994E-2</v>
      </c>
    </row>
    <row r="261" spans="1:8" x14ac:dyDescent="0.3">
      <c r="A261" t="s">
        <v>81</v>
      </c>
      <c r="B261" s="5" t="s">
        <v>162</v>
      </c>
      <c r="C261" s="5" t="s">
        <v>48</v>
      </c>
      <c r="D261" s="16">
        <v>3.2000000000000001E-2</v>
      </c>
      <c r="E261" s="16">
        <v>3.5000000000000003E-2</v>
      </c>
      <c r="F261" s="16">
        <v>0.04</v>
      </c>
      <c r="G261" s="16">
        <v>4.2000000000000003E-2</v>
      </c>
      <c r="H261" s="16">
        <v>4.2000000000000003E-2</v>
      </c>
    </row>
    <row r="262" spans="1:8" x14ac:dyDescent="0.3">
      <c r="A262" t="s">
        <v>81</v>
      </c>
      <c r="B262" s="5" t="s">
        <v>162</v>
      </c>
      <c r="C262" s="5" t="s">
        <v>50</v>
      </c>
      <c r="D262" s="16">
        <v>2.5999999999999999E-2</v>
      </c>
      <c r="E262" s="16">
        <v>2.3E-2</v>
      </c>
      <c r="F262" s="16">
        <v>2.3E-2</v>
      </c>
      <c r="G262" s="16">
        <v>2.7E-2</v>
      </c>
      <c r="H262" s="16">
        <v>4.2999999999999997E-2</v>
      </c>
    </row>
    <row r="263" spans="1:8" x14ac:dyDescent="0.3">
      <c r="A263" t="s">
        <v>81</v>
      </c>
      <c r="B263" s="5" t="s">
        <v>162</v>
      </c>
      <c r="C263" s="5" t="s">
        <v>52</v>
      </c>
      <c r="D263" s="16">
        <v>1E-3</v>
      </c>
      <c r="E263" s="16">
        <v>1E-3</v>
      </c>
      <c r="F263" s="16">
        <v>2E-3</v>
      </c>
      <c r="G263" s="16">
        <v>3.0000000000000001E-3</v>
      </c>
      <c r="H263" s="16">
        <v>6.0000000000000001E-3</v>
      </c>
    </row>
    <row r="264" spans="1:8" x14ac:dyDescent="0.3">
      <c r="A264" t="s">
        <v>81</v>
      </c>
      <c r="B264" s="5" t="s">
        <v>162</v>
      </c>
      <c r="C264" s="5" t="s">
        <v>54</v>
      </c>
      <c r="D264" s="16">
        <v>4.0000000000000001E-3</v>
      </c>
      <c r="E264" s="16">
        <v>6.0000000000000001E-3</v>
      </c>
      <c r="F264" s="16">
        <v>7.0000000000000001E-3</v>
      </c>
      <c r="G264" s="16">
        <v>0.01</v>
      </c>
      <c r="H264" s="16">
        <v>1.7999999999999999E-2</v>
      </c>
    </row>
    <row r="265" spans="1:8" x14ac:dyDescent="0.3">
      <c r="A265" t="s">
        <v>81</v>
      </c>
      <c r="B265" s="5" t="s">
        <v>162</v>
      </c>
      <c r="C265" s="5" t="s">
        <v>56</v>
      </c>
      <c r="D265" s="16">
        <v>1.7000000000000001E-2</v>
      </c>
      <c r="E265" s="16">
        <v>2.4E-2</v>
      </c>
      <c r="F265" s="16">
        <v>2.8000000000000001E-2</v>
      </c>
      <c r="G265" s="16">
        <v>3.2000000000000001E-2</v>
      </c>
      <c r="H265" s="16">
        <v>4.2000000000000003E-2</v>
      </c>
    </row>
    <row r="266" spans="1:8" x14ac:dyDescent="0.3">
      <c r="A266" t="s">
        <v>82</v>
      </c>
      <c r="B266" s="5" t="s">
        <v>163</v>
      </c>
      <c r="C266" s="5" t="s">
        <v>34</v>
      </c>
      <c r="D266" s="16">
        <v>0.17717717717717718</v>
      </c>
      <c r="E266" s="16">
        <v>0.16416416416416416</v>
      </c>
      <c r="F266" s="16">
        <v>0.14514514514514515</v>
      </c>
      <c r="G266" s="16">
        <v>0.14714714714714713</v>
      </c>
      <c r="H266" s="16">
        <v>0.12212212212212212</v>
      </c>
    </row>
    <row r="267" spans="1:8" x14ac:dyDescent="0.3">
      <c r="A267" t="s">
        <v>82</v>
      </c>
      <c r="B267" s="5" t="s">
        <v>163</v>
      </c>
      <c r="C267" s="5" t="s">
        <v>36</v>
      </c>
      <c r="D267" s="16">
        <v>2.3023023023023025E-2</v>
      </c>
      <c r="E267" s="16">
        <v>2.3023023023023025E-2</v>
      </c>
      <c r="F267" s="16">
        <v>1.9019019019019021E-2</v>
      </c>
      <c r="G267" s="16">
        <v>1.9019019019019021E-2</v>
      </c>
      <c r="H267" s="16">
        <v>1.4014014014014014E-2</v>
      </c>
    </row>
    <row r="268" spans="1:8" x14ac:dyDescent="0.3">
      <c r="A268" t="s">
        <v>82</v>
      </c>
      <c r="B268" s="5" t="s">
        <v>163</v>
      </c>
      <c r="C268" s="5" t="s">
        <v>38</v>
      </c>
      <c r="D268" s="16">
        <v>3.5035035035035036E-2</v>
      </c>
      <c r="E268" s="16">
        <v>4.7047047047047048E-2</v>
      </c>
      <c r="F268" s="16">
        <v>5.1051051051051052E-2</v>
      </c>
      <c r="G268" s="16">
        <v>5.8058058058058061E-2</v>
      </c>
      <c r="H268" s="16">
        <v>7.1071071071071065E-2</v>
      </c>
    </row>
    <row r="269" spans="1:8" x14ac:dyDescent="0.3">
      <c r="A269" t="s">
        <v>82</v>
      </c>
      <c r="B269" s="5" t="s">
        <v>163</v>
      </c>
      <c r="C269" s="5" t="s">
        <v>40</v>
      </c>
      <c r="D269" s="16">
        <v>0.39239239239239238</v>
      </c>
      <c r="E269" s="16">
        <v>0.3213213213213213</v>
      </c>
      <c r="F269" s="16">
        <v>0.27927927927927926</v>
      </c>
      <c r="G269" s="16">
        <v>0.23623623623623624</v>
      </c>
      <c r="H269" s="16">
        <v>0.20520520520520522</v>
      </c>
    </row>
    <row r="270" spans="1:8" x14ac:dyDescent="0.3">
      <c r="A270" t="s">
        <v>82</v>
      </c>
      <c r="B270" s="5" t="s">
        <v>163</v>
      </c>
      <c r="C270" s="5" t="s">
        <v>42</v>
      </c>
      <c r="D270" s="16">
        <v>3.1031031031031032E-2</v>
      </c>
      <c r="E270" s="16">
        <v>4.6046046046046049E-2</v>
      </c>
      <c r="F270" s="16">
        <v>4.3043043043043044E-2</v>
      </c>
      <c r="G270" s="16">
        <v>4.5045045045045043E-2</v>
      </c>
      <c r="H270" s="16">
        <v>4.1041041041041039E-2</v>
      </c>
    </row>
    <row r="271" spans="1:8" x14ac:dyDescent="0.3">
      <c r="A271" t="s">
        <v>82</v>
      </c>
      <c r="B271" s="5" t="s">
        <v>163</v>
      </c>
      <c r="C271" s="5" t="s">
        <v>44</v>
      </c>
      <c r="D271" s="16">
        <v>2.1021021021021023E-2</v>
      </c>
      <c r="E271" s="16">
        <v>2.1021021021021023E-2</v>
      </c>
      <c r="F271" s="16">
        <v>2.5025025025025027E-2</v>
      </c>
      <c r="G271" s="16">
        <v>1.8018018018018018E-2</v>
      </c>
      <c r="H271" s="16">
        <v>2.2022022022022022E-2</v>
      </c>
    </row>
    <row r="272" spans="1:8" x14ac:dyDescent="0.3">
      <c r="A272" t="s">
        <v>82</v>
      </c>
      <c r="B272" s="5" t="s">
        <v>163</v>
      </c>
      <c r="C272" s="5" t="s">
        <v>46</v>
      </c>
      <c r="D272" s="16">
        <v>0.1021021021021021</v>
      </c>
      <c r="E272" s="16">
        <v>0.12912912912912913</v>
      </c>
      <c r="F272" s="16">
        <v>0.17017017017017017</v>
      </c>
      <c r="G272" s="16">
        <v>0.1891891891891892</v>
      </c>
      <c r="H272" s="16">
        <v>0.21621621621621623</v>
      </c>
    </row>
    <row r="273" spans="1:8" x14ac:dyDescent="0.3">
      <c r="A273" t="s">
        <v>82</v>
      </c>
      <c r="B273" s="5" t="s">
        <v>163</v>
      </c>
      <c r="C273" s="5" t="s">
        <v>48</v>
      </c>
      <c r="D273" s="16">
        <v>5.2052052052052052E-2</v>
      </c>
      <c r="E273" s="16">
        <v>5.1051051051051052E-2</v>
      </c>
      <c r="F273" s="16">
        <v>5.0050050050050053E-2</v>
      </c>
      <c r="G273" s="16">
        <v>4.9049049049049047E-2</v>
      </c>
      <c r="H273" s="16">
        <v>4.4044044044044044E-2</v>
      </c>
    </row>
    <row r="274" spans="1:8" x14ac:dyDescent="0.3">
      <c r="A274" t="s">
        <v>82</v>
      </c>
      <c r="B274" s="5" t="s">
        <v>163</v>
      </c>
      <c r="C274" s="5" t="s">
        <v>50</v>
      </c>
      <c r="D274" s="16">
        <v>5.905905905905906E-2</v>
      </c>
      <c r="E274" s="16">
        <v>6.1061061061061059E-2</v>
      </c>
      <c r="F274" s="16">
        <v>6.9069069069069067E-2</v>
      </c>
      <c r="G274" s="16">
        <v>7.3073073073073078E-2</v>
      </c>
      <c r="H274" s="16">
        <v>8.1081081081081086E-2</v>
      </c>
    </row>
    <row r="275" spans="1:8" x14ac:dyDescent="0.3">
      <c r="A275" t="s">
        <v>82</v>
      </c>
      <c r="B275" s="5" t="s">
        <v>163</v>
      </c>
      <c r="C275" s="5" t="s">
        <v>52</v>
      </c>
      <c r="D275" s="16">
        <v>2.002002002002002E-3</v>
      </c>
      <c r="E275" s="16">
        <v>5.005005005005005E-3</v>
      </c>
      <c r="F275" s="16">
        <v>7.0070070070070069E-3</v>
      </c>
      <c r="G275" s="16">
        <v>1.2012012012012012E-2</v>
      </c>
      <c r="H275" s="16">
        <v>1.1011011011011011E-2</v>
      </c>
    </row>
    <row r="276" spans="1:8" x14ac:dyDescent="0.3">
      <c r="A276" t="s">
        <v>82</v>
      </c>
      <c r="B276" s="5" t="s">
        <v>163</v>
      </c>
      <c r="C276" s="5" t="s">
        <v>54</v>
      </c>
      <c r="D276" s="16">
        <v>2.3023023023023025E-2</v>
      </c>
      <c r="E276" s="16">
        <v>3.2032032032032032E-2</v>
      </c>
      <c r="F276" s="16">
        <v>4.004004004004004E-2</v>
      </c>
      <c r="G276" s="16">
        <v>5.3053053053053051E-2</v>
      </c>
      <c r="H276" s="16">
        <v>6.6066066066066062E-2</v>
      </c>
    </row>
    <row r="277" spans="1:8" x14ac:dyDescent="0.3">
      <c r="A277" t="s">
        <v>82</v>
      </c>
      <c r="B277" s="5" t="s">
        <v>163</v>
      </c>
      <c r="C277" s="5" t="s">
        <v>56</v>
      </c>
      <c r="D277" s="16">
        <v>8.2082082082082078E-2</v>
      </c>
      <c r="E277" s="16">
        <v>0.1011011011011011</v>
      </c>
      <c r="F277" s="16">
        <v>0.1011011011011011</v>
      </c>
      <c r="G277" s="16">
        <v>0.1021021021021021</v>
      </c>
      <c r="H277" s="16">
        <v>0.10510510510510511</v>
      </c>
    </row>
    <row r="278" spans="1:8" x14ac:dyDescent="0.3">
      <c r="A278" t="s">
        <v>83</v>
      </c>
      <c r="B278" s="5" t="s">
        <v>164</v>
      </c>
      <c r="C278" s="5" t="s">
        <v>34</v>
      </c>
      <c r="D278" s="16">
        <v>0.22700000000000001</v>
      </c>
      <c r="E278" s="16">
        <v>0.224</v>
      </c>
      <c r="F278" s="16">
        <v>0.20499999999999999</v>
      </c>
      <c r="G278" s="16">
        <v>0.192</v>
      </c>
      <c r="H278" s="16">
        <v>0.16400000000000001</v>
      </c>
    </row>
    <row r="279" spans="1:8" x14ac:dyDescent="0.3">
      <c r="A279" t="s">
        <v>83</v>
      </c>
      <c r="B279" s="5" t="s">
        <v>164</v>
      </c>
      <c r="C279" s="5" t="s">
        <v>36</v>
      </c>
      <c r="D279" s="16">
        <v>2.8000000000000001E-2</v>
      </c>
      <c r="E279" s="16">
        <v>2.8000000000000001E-2</v>
      </c>
      <c r="F279" s="16">
        <v>2.5999999999999999E-2</v>
      </c>
      <c r="G279" s="16">
        <v>2.7E-2</v>
      </c>
      <c r="H279" s="16">
        <v>2.7E-2</v>
      </c>
    </row>
    <row r="280" spans="1:8" x14ac:dyDescent="0.3">
      <c r="A280" t="s">
        <v>83</v>
      </c>
      <c r="B280" s="5" t="s">
        <v>164</v>
      </c>
      <c r="C280" s="5" t="s">
        <v>38</v>
      </c>
      <c r="D280" s="16">
        <v>2.8000000000000001E-2</v>
      </c>
      <c r="E280" s="16">
        <v>3.5999999999999997E-2</v>
      </c>
      <c r="F280" s="16">
        <v>4.1000000000000002E-2</v>
      </c>
      <c r="G280" s="16">
        <v>0.05</v>
      </c>
      <c r="H280" s="16">
        <v>6.0999999999999999E-2</v>
      </c>
    </row>
    <row r="281" spans="1:8" x14ac:dyDescent="0.3">
      <c r="A281" t="s">
        <v>83</v>
      </c>
      <c r="B281" s="5" t="s">
        <v>164</v>
      </c>
      <c r="C281" s="5" t="s">
        <v>40</v>
      </c>
      <c r="D281" s="16">
        <v>0.42799999999999999</v>
      </c>
      <c r="E281" s="16">
        <v>0.36599999999999999</v>
      </c>
      <c r="F281" s="16">
        <v>0.315</v>
      </c>
      <c r="G281" s="16">
        <v>0.29399999999999998</v>
      </c>
      <c r="H281" s="16">
        <v>0.26800000000000002</v>
      </c>
    </row>
    <row r="282" spans="1:8" x14ac:dyDescent="0.3">
      <c r="A282" t="s">
        <v>83</v>
      </c>
      <c r="B282" s="5" t="s">
        <v>164</v>
      </c>
      <c r="C282" s="5" t="s">
        <v>42</v>
      </c>
      <c r="D282" s="16">
        <v>0.04</v>
      </c>
      <c r="E282" s="16">
        <v>4.7E-2</v>
      </c>
      <c r="F282" s="16">
        <v>4.8000000000000001E-2</v>
      </c>
      <c r="G282" s="16">
        <v>4.7E-2</v>
      </c>
      <c r="H282" s="16">
        <v>4.9000000000000002E-2</v>
      </c>
    </row>
    <row r="283" spans="1:8" x14ac:dyDescent="0.3">
      <c r="A283" t="s">
        <v>83</v>
      </c>
      <c r="B283" s="5" t="s">
        <v>164</v>
      </c>
      <c r="C283" s="5" t="s">
        <v>44</v>
      </c>
      <c r="D283" s="16">
        <v>3.7999999999999999E-2</v>
      </c>
      <c r="E283" s="16">
        <v>3.5999999999999997E-2</v>
      </c>
      <c r="F283" s="16">
        <v>2.8000000000000001E-2</v>
      </c>
      <c r="G283" s="16">
        <v>2.1999999999999999E-2</v>
      </c>
      <c r="H283" s="16">
        <v>2.3E-2</v>
      </c>
    </row>
    <row r="284" spans="1:8" x14ac:dyDescent="0.3">
      <c r="A284" t="s">
        <v>83</v>
      </c>
      <c r="B284" s="5" t="s">
        <v>164</v>
      </c>
      <c r="C284" s="5" t="s">
        <v>46</v>
      </c>
      <c r="D284" s="16">
        <v>4.4999999999999998E-2</v>
      </c>
      <c r="E284" s="16">
        <v>7.3999999999999996E-2</v>
      </c>
      <c r="F284" s="16">
        <v>0.106</v>
      </c>
      <c r="G284" s="16">
        <v>0.11600000000000001</v>
      </c>
      <c r="H284" s="16">
        <v>0.14299999999999999</v>
      </c>
    </row>
    <row r="285" spans="1:8" x14ac:dyDescent="0.3">
      <c r="A285" t="s">
        <v>83</v>
      </c>
      <c r="B285" s="5" t="s">
        <v>164</v>
      </c>
      <c r="C285" s="5" t="s">
        <v>48</v>
      </c>
      <c r="D285" s="16">
        <v>4.5999999999999999E-2</v>
      </c>
      <c r="E285" s="16">
        <v>4.8000000000000001E-2</v>
      </c>
      <c r="F285" s="16">
        <v>4.9000000000000002E-2</v>
      </c>
      <c r="G285" s="16">
        <v>0.05</v>
      </c>
      <c r="H285" s="16">
        <v>4.7E-2</v>
      </c>
    </row>
    <row r="286" spans="1:8" x14ac:dyDescent="0.3">
      <c r="A286" t="s">
        <v>83</v>
      </c>
      <c r="B286" s="5" t="s">
        <v>164</v>
      </c>
      <c r="C286" s="5" t="s">
        <v>50</v>
      </c>
      <c r="D286" s="16">
        <v>4.2999999999999997E-2</v>
      </c>
      <c r="E286" s="16">
        <v>5.1999999999999998E-2</v>
      </c>
      <c r="F286" s="16">
        <v>6.0999999999999999E-2</v>
      </c>
      <c r="G286" s="16">
        <v>6.3E-2</v>
      </c>
      <c r="H286" s="16">
        <v>6.7000000000000004E-2</v>
      </c>
    </row>
    <row r="287" spans="1:8" x14ac:dyDescent="0.3">
      <c r="A287" t="s">
        <v>83</v>
      </c>
      <c r="B287" s="5" t="s">
        <v>164</v>
      </c>
      <c r="C287" s="5" t="s">
        <v>52</v>
      </c>
      <c r="D287" s="16">
        <v>2E-3</v>
      </c>
      <c r="E287" s="16">
        <v>4.0000000000000001E-3</v>
      </c>
      <c r="F287" s="16">
        <v>5.0000000000000001E-3</v>
      </c>
      <c r="G287" s="16">
        <v>8.0000000000000002E-3</v>
      </c>
      <c r="H287" s="16">
        <v>0.01</v>
      </c>
    </row>
    <row r="288" spans="1:8" x14ac:dyDescent="0.3">
      <c r="A288" t="s">
        <v>83</v>
      </c>
      <c r="B288" s="5" t="s">
        <v>164</v>
      </c>
      <c r="C288" s="5" t="s">
        <v>54</v>
      </c>
      <c r="D288" s="16">
        <v>3.4000000000000002E-2</v>
      </c>
      <c r="E288" s="16">
        <v>3.5000000000000003E-2</v>
      </c>
      <c r="F288" s="16">
        <v>4.7E-2</v>
      </c>
      <c r="G288" s="16">
        <v>5.0999999999999997E-2</v>
      </c>
      <c r="H288" s="16">
        <v>5.0999999999999997E-2</v>
      </c>
    </row>
    <row r="289" spans="1:8" x14ac:dyDescent="0.3">
      <c r="A289" t="s">
        <v>83</v>
      </c>
      <c r="B289" s="5" t="s">
        <v>164</v>
      </c>
      <c r="C289" s="5" t="s">
        <v>56</v>
      </c>
      <c r="D289" s="16">
        <v>4.1000000000000002E-2</v>
      </c>
      <c r="E289" s="16">
        <v>5.1999999999999998E-2</v>
      </c>
      <c r="F289" s="16">
        <v>6.8000000000000005E-2</v>
      </c>
      <c r="G289" s="16">
        <v>7.9000000000000001E-2</v>
      </c>
      <c r="H289" s="16">
        <v>0.09</v>
      </c>
    </row>
    <row r="290" spans="1:8" x14ac:dyDescent="0.3">
      <c r="A290" t="s">
        <v>84</v>
      </c>
      <c r="B290" s="5" t="s">
        <v>165</v>
      </c>
      <c r="C290" s="5" t="s">
        <v>34</v>
      </c>
      <c r="D290" s="16">
        <v>0.12825651302605209</v>
      </c>
      <c r="E290" s="16">
        <v>0.12224448897795591</v>
      </c>
      <c r="F290" s="16">
        <v>0.12925851703406813</v>
      </c>
      <c r="G290" s="16">
        <v>0.12324649298597194</v>
      </c>
      <c r="H290" s="16">
        <v>0.11022044088176353</v>
      </c>
    </row>
    <row r="291" spans="1:8" x14ac:dyDescent="0.3">
      <c r="A291" t="s">
        <v>84</v>
      </c>
      <c r="B291" s="5" t="s">
        <v>165</v>
      </c>
      <c r="C291" s="5" t="s">
        <v>36</v>
      </c>
      <c r="D291" s="16">
        <v>4.308617234468938E-2</v>
      </c>
      <c r="E291" s="16">
        <v>2.8056112224448898E-2</v>
      </c>
      <c r="F291" s="16">
        <v>2.004008016032064E-2</v>
      </c>
      <c r="G291" s="16">
        <v>2.1042084168336674E-2</v>
      </c>
      <c r="H291" s="16">
        <v>1.503006012024048E-2</v>
      </c>
    </row>
    <row r="292" spans="1:8" x14ac:dyDescent="0.3">
      <c r="A292" t="s">
        <v>84</v>
      </c>
      <c r="B292" s="5" t="s">
        <v>165</v>
      </c>
      <c r="C292" s="5" t="s">
        <v>38</v>
      </c>
      <c r="D292" s="16">
        <v>2.9058116232464931E-2</v>
      </c>
      <c r="E292" s="16">
        <v>2.4048096192384769E-2</v>
      </c>
      <c r="F292" s="16">
        <v>2.4048096192384769E-2</v>
      </c>
      <c r="G292" s="16">
        <v>3.0060120240480961E-2</v>
      </c>
      <c r="H292" s="16">
        <v>3.5070140280561123E-2</v>
      </c>
    </row>
    <row r="293" spans="1:8" x14ac:dyDescent="0.3">
      <c r="A293" t="s">
        <v>84</v>
      </c>
      <c r="B293" s="5" t="s">
        <v>165</v>
      </c>
      <c r="C293" s="5" t="s">
        <v>40</v>
      </c>
      <c r="D293" s="16">
        <v>0.39178356713426854</v>
      </c>
      <c r="E293" s="16">
        <v>0.36973947895791581</v>
      </c>
      <c r="F293" s="16">
        <v>0.34068136272545091</v>
      </c>
      <c r="G293" s="16">
        <v>0.30561122244488975</v>
      </c>
      <c r="H293" s="16">
        <v>0.27054108216432865</v>
      </c>
    </row>
    <row r="294" spans="1:8" x14ac:dyDescent="0.3">
      <c r="A294" t="s">
        <v>84</v>
      </c>
      <c r="B294" s="5" t="s">
        <v>165</v>
      </c>
      <c r="C294" s="5" t="s">
        <v>42</v>
      </c>
      <c r="D294" s="16">
        <v>3.2064128256513023E-2</v>
      </c>
      <c r="E294" s="16">
        <v>3.6072144288577156E-2</v>
      </c>
      <c r="F294" s="16">
        <v>4.2084168336673347E-2</v>
      </c>
      <c r="G294" s="16">
        <v>4.5090180360721446E-2</v>
      </c>
      <c r="H294" s="16">
        <v>4.9098196392785572E-2</v>
      </c>
    </row>
    <row r="295" spans="1:8" x14ac:dyDescent="0.3">
      <c r="A295" t="s">
        <v>84</v>
      </c>
      <c r="B295" s="5" t="s">
        <v>165</v>
      </c>
      <c r="C295" s="5" t="s">
        <v>44</v>
      </c>
      <c r="D295" s="16">
        <v>4.5090180360721446E-2</v>
      </c>
      <c r="E295" s="16">
        <v>4.308617234468938E-2</v>
      </c>
      <c r="F295" s="16">
        <v>4.0080160320641281E-2</v>
      </c>
      <c r="G295" s="16">
        <v>3.3066132264529056E-2</v>
      </c>
      <c r="H295" s="16">
        <v>2.7054108216432865E-2</v>
      </c>
    </row>
    <row r="296" spans="1:8" x14ac:dyDescent="0.3">
      <c r="A296" t="s">
        <v>84</v>
      </c>
      <c r="B296" s="5" t="s">
        <v>165</v>
      </c>
      <c r="C296" s="5" t="s">
        <v>46</v>
      </c>
      <c r="D296" s="16">
        <v>0.10120240480961924</v>
      </c>
      <c r="E296" s="16">
        <v>0.13326653306613226</v>
      </c>
      <c r="F296" s="16">
        <v>0.14529058116232466</v>
      </c>
      <c r="G296" s="16">
        <v>0.15531062124248496</v>
      </c>
      <c r="H296" s="16">
        <v>0.18336673346693386</v>
      </c>
    </row>
    <row r="297" spans="1:8" x14ac:dyDescent="0.3">
      <c r="A297" t="s">
        <v>84</v>
      </c>
      <c r="B297" s="5" t="s">
        <v>165</v>
      </c>
      <c r="C297" s="5" t="s">
        <v>48</v>
      </c>
      <c r="D297" s="16">
        <v>3.1062124248496994E-2</v>
      </c>
      <c r="E297" s="16">
        <v>2.8056112224448898E-2</v>
      </c>
      <c r="F297" s="16">
        <v>2.8056112224448898E-2</v>
      </c>
      <c r="G297" s="16">
        <v>2.6052104208416832E-2</v>
      </c>
      <c r="H297" s="16">
        <v>2.2044088176352707E-2</v>
      </c>
    </row>
    <row r="298" spans="1:8" x14ac:dyDescent="0.3">
      <c r="A298" t="s">
        <v>84</v>
      </c>
      <c r="B298" s="5" t="s">
        <v>165</v>
      </c>
      <c r="C298" s="5" t="s">
        <v>50</v>
      </c>
      <c r="D298" s="16">
        <v>8.3166332665330661E-2</v>
      </c>
      <c r="E298" s="16">
        <v>8.1162324649298595E-2</v>
      </c>
      <c r="F298" s="16">
        <v>8.617234468937876E-2</v>
      </c>
      <c r="G298" s="16">
        <v>9.3186372745490978E-2</v>
      </c>
      <c r="H298" s="16">
        <v>0.10020040080160321</v>
      </c>
    </row>
    <row r="299" spans="1:8" x14ac:dyDescent="0.3">
      <c r="A299" t="s">
        <v>84</v>
      </c>
      <c r="B299" s="5" t="s">
        <v>165</v>
      </c>
      <c r="C299" s="5" t="s">
        <v>52</v>
      </c>
      <c r="D299" s="16">
        <v>2.004008016032064E-3</v>
      </c>
      <c r="E299" s="16">
        <v>1.002004008016032E-3</v>
      </c>
      <c r="F299" s="16">
        <v>1.002004008016032E-3</v>
      </c>
      <c r="G299" s="16">
        <v>1.002004008016032E-3</v>
      </c>
      <c r="H299" s="16">
        <v>1.002004008016032E-3</v>
      </c>
    </row>
    <row r="300" spans="1:8" x14ac:dyDescent="0.3">
      <c r="A300" t="s">
        <v>84</v>
      </c>
      <c r="B300" s="5" t="s">
        <v>165</v>
      </c>
      <c r="C300" s="5" t="s">
        <v>54</v>
      </c>
      <c r="D300" s="16">
        <v>3.9078156312625248E-2</v>
      </c>
      <c r="E300" s="16">
        <v>4.308617234468938E-2</v>
      </c>
      <c r="F300" s="16">
        <v>4.308617234468938E-2</v>
      </c>
      <c r="G300" s="16">
        <v>4.6092184368737472E-2</v>
      </c>
      <c r="H300" s="16">
        <v>6.0120240480961921E-2</v>
      </c>
    </row>
    <row r="301" spans="1:8" x14ac:dyDescent="0.3">
      <c r="A301" t="s">
        <v>84</v>
      </c>
      <c r="B301" s="5" t="s">
        <v>165</v>
      </c>
      <c r="C301" s="5" t="s">
        <v>56</v>
      </c>
      <c r="D301" s="16">
        <v>7.4148296593186377E-2</v>
      </c>
      <c r="E301" s="16">
        <v>9.1182364729458912E-2</v>
      </c>
      <c r="F301" s="16">
        <v>0.10220440881763528</v>
      </c>
      <c r="G301" s="16">
        <v>0.12224448897795591</v>
      </c>
      <c r="H301" s="16">
        <v>0.12925851703406813</v>
      </c>
    </row>
    <row r="302" spans="1:8" x14ac:dyDescent="0.3">
      <c r="A302" t="s">
        <v>85</v>
      </c>
      <c r="B302" s="5" t="s">
        <v>166</v>
      </c>
      <c r="C302" s="5" t="s">
        <v>34</v>
      </c>
      <c r="D302" s="16">
        <v>0.12298387096774194</v>
      </c>
      <c r="E302" s="16">
        <v>0.11995967741935484</v>
      </c>
      <c r="F302" s="16">
        <v>0.125</v>
      </c>
      <c r="G302" s="16">
        <v>0.11895161290322581</v>
      </c>
      <c r="H302" s="16">
        <v>0.10987903225806452</v>
      </c>
    </row>
    <row r="303" spans="1:8" x14ac:dyDescent="0.3">
      <c r="A303" t="s">
        <v>85</v>
      </c>
      <c r="B303" s="5" t="s">
        <v>166</v>
      </c>
      <c r="C303" s="5" t="s">
        <v>36</v>
      </c>
      <c r="D303" s="16">
        <v>2.3185483870967742E-2</v>
      </c>
      <c r="E303" s="16">
        <v>2.1169354838709676E-2</v>
      </c>
      <c r="F303" s="16">
        <v>1.9153225806451613E-2</v>
      </c>
      <c r="G303" s="16">
        <v>1.7137096774193547E-2</v>
      </c>
      <c r="H303" s="16">
        <v>1.5120967741935484E-2</v>
      </c>
    </row>
    <row r="304" spans="1:8" x14ac:dyDescent="0.3">
      <c r="A304" t="s">
        <v>85</v>
      </c>
      <c r="B304" s="5" t="s">
        <v>166</v>
      </c>
      <c r="C304" s="5" t="s">
        <v>38</v>
      </c>
      <c r="D304" s="16">
        <v>3.2258064516129031E-2</v>
      </c>
      <c r="E304" s="16">
        <v>3.8306451612903226E-2</v>
      </c>
      <c r="F304" s="16">
        <v>3.4274193548387094E-2</v>
      </c>
      <c r="G304" s="16">
        <v>4.6370967741935484E-2</v>
      </c>
      <c r="H304" s="16">
        <v>5.1411290322580648E-2</v>
      </c>
    </row>
    <row r="305" spans="1:8" x14ac:dyDescent="0.3">
      <c r="A305" t="s">
        <v>85</v>
      </c>
      <c r="B305" s="5" t="s">
        <v>166</v>
      </c>
      <c r="C305" s="5" t="s">
        <v>40</v>
      </c>
      <c r="D305" s="16">
        <v>0.38709677419354838</v>
      </c>
      <c r="E305" s="16">
        <v>0.35685483870967744</v>
      </c>
      <c r="F305" s="16">
        <v>0.33467741935483869</v>
      </c>
      <c r="G305" s="16">
        <v>0.32157258064516131</v>
      </c>
      <c r="H305" s="16">
        <v>0.28024193548387094</v>
      </c>
    </row>
    <row r="306" spans="1:8" x14ac:dyDescent="0.3">
      <c r="A306" t="s">
        <v>85</v>
      </c>
      <c r="B306" s="5" t="s">
        <v>166</v>
      </c>
      <c r="C306" s="5" t="s">
        <v>42</v>
      </c>
      <c r="D306" s="16">
        <v>3.9314516129032258E-2</v>
      </c>
      <c r="E306" s="16">
        <v>4.9395161290322578E-2</v>
      </c>
      <c r="F306" s="16">
        <v>5.2419354838709679E-2</v>
      </c>
      <c r="G306" s="16">
        <v>6.0483870967741937E-2</v>
      </c>
      <c r="H306" s="16">
        <v>6.5524193548387094E-2</v>
      </c>
    </row>
    <row r="307" spans="1:8" x14ac:dyDescent="0.3">
      <c r="A307" t="s">
        <v>85</v>
      </c>
      <c r="B307" s="5" t="s">
        <v>166</v>
      </c>
      <c r="C307" s="5" t="s">
        <v>44</v>
      </c>
      <c r="D307" s="16">
        <v>2.8225806451612902E-2</v>
      </c>
      <c r="E307" s="16">
        <v>2.9233870967741934E-2</v>
      </c>
      <c r="F307" s="16">
        <v>1.9153225806451613E-2</v>
      </c>
      <c r="G307" s="16">
        <v>1.8145161290322582E-2</v>
      </c>
      <c r="H307" s="16">
        <v>1.7137096774193547E-2</v>
      </c>
    </row>
    <row r="308" spans="1:8" x14ac:dyDescent="0.3">
      <c r="A308" t="s">
        <v>85</v>
      </c>
      <c r="B308" s="5" t="s">
        <v>166</v>
      </c>
      <c r="C308" s="5" t="s">
        <v>46</v>
      </c>
      <c r="D308" s="16">
        <v>8.9717741935483875E-2</v>
      </c>
      <c r="E308" s="16">
        <v>0.13205645161290322</v>
      </c>
      <c r="F308" s="16">
        <v>0.13205645161290322</v>
      </c>
      <c r="G308" s="16">
        <v>0.14818548387096775</v>
      </c>
      <c r="H308" s="16">
        <v>0.15221774193548387</v>
      </c>
    </row>
    <row r="309" spans="1:8" x14ac:dyDescent="0.3">
      <c r="A309" t="s">
        <v>85</v>
      </c>
      <c r="B309" s="5" t="s">
        <v>166</v>
      </c>
      <c r="C309" s="5" t="s">
        <v>48</v>
      </c>
      <c r="D309" s="16">
        <v>3.5282258064516132E-2</v>
      </c>
      <c r="E309" s="16">
        <v>3.6290322580645164E-2</v>
      </c>
      <c r="F309" s="16">
        <v>3.4274193548387094E-2</v>
      </c>
      <c r="G309" s="16">
        <v>3.4274193548387094E-2</v>
      </c>
      <c r="H309" s="16">
        <v>2.620967741935484E-2</v>
      </c>
    </row>
    <row r="310" spans="1:8" x14ac:dyDescent="0.3">
      <c r="A310" t="s">
        <v>85</v>
      </c>
      <c r="B310" s="5" t="s">
        <v>166</v>
      </c>
      <c r="C310" s="5" t="s">
        <v>50</v>
      </c>
      <c r="D310" s="16">
        <v>0.15120967741935484</v>
      </c>
      <c r="E310" s="16">
        <v>0.12903225806451613</v>
      </c>
      <c r="F310" s="16">
        <v>0.14112903225806453</v>
      </c>
      <c r="G310" s="16">
        <v>0.12802419354838709</v>
      </c>
      <c r="H310" s="16">
        <v>0.16028225806451613</v>
      </c>
    </row>
    <row r="311" spans="1:8" x14ac:dyDescent="0.3">
      <c r="A311" t="s">
        <v>85</v>
      </c>
      <c r="B311" s="5" t="s">
        <v>166</v>
      </c>
      <c r="C311" s="5" t="s">
        <v>52</v>
      </c>
      <c r="D311" s="16">
        <v>0</v>
      </c>
      <c r="E311" s="16">
        <v>0</v>
      </c>
      <c r="F311" s="16">
        <v>7.0564516129032256E-3</v>
      </c>
      <c r="G311" s="16">
        <v>0</v>
      </c>
      <c r="H311" s="16">
        <v>1.0080645161290322E-3</v>
      </c>
    </row>
    <row r="312" spans="1:8" x14ac:dyDescent="0.3">
      <c r="A312" t="s">
        <v>85</v>
      </c>
      <c r="B312" s="5" t="s">
        <v>166</v>
      </c>
      <c r="C312" s="5" t="s">
        <v>54</v>
      </c>
      <c r="D312" s="16">
        <v>2.620967741935484E-2</v>
      </c>
      <c r="E312" s="16">
        <v>3.0241935483870969E-2</v>
      </c>
      <c r="F312" s="16">
        <v>3.4274193548387094E-2</v>
      </c>
      <c r="G312" s="16">
        <v>3.7298387096774195E-2</v>
      </c>
      <c r="H312" s="16">
        <v>4.4354838709677422E-2</v>
      </c>
    </row>
    <row r="313" spans="1:8" x14ac:dyDescent="0.3">
      <c r="A313" t="s">
        <v>85</v>
      </c>
      <c r="B313" s="5" t="s">
        <v>166</v>
      </c>
      <c r="C313" s="5" t="s">
        <v>56</v>
      </c>
      <c r="D313" s="16">
        <v>6.4516129032258063E-2</v>
      </c>
      <c r="E313" s="16">
        <v>5.4435483870967742E-2</v>
      </c>
      <c r="F313" s="16">
        <v>6.25E-2</v>
      </c>
      <c r="G313" s="16">
        <v>6.8548387096774188E-2</v>
      </c>
      <c r="H313" s="16">
        <v>6.8548387096774188E-2</v>
      </c>
    </row>
    <row r="314" spans="1:8" x14ac:dyDescent="0.3">
      <c r="A314" t="s">
        <v>86</v>
      </c>
      <c r="B314" s="5" t="s">
        <v>167</v>
      </c>
      <c r="C314" s="5" t="s">
        <v>34</v>
      </c>
      <c r="D314" s="16">
        <v>0.114</v>
      </c>
      <c r="E314" s="16">
        <v>0.11700000000000001</v>
      </c>
      <c r="F314" s="16">
        <v>0.11600000000000001</v>
      </c>
      <c r="G314" s="16">
        <v>0.13300000000000001</v>
      </c>
      <c r="H314" s="16">
        <v>0.11</v>
      </c>
    </row>
    <row r="315" spans="1:8" x14ac:dyDescent="0.3">
      <c r="A315" t="s">
        <v>86</v>
      </c>
      <c r="B315" s="5" t="s">
        <v>167</v>
      </c>
      <c r="C315" s="5" t="s">
        <v>36</v>
      </c>
      <c r="D315" s="16">
        <v>4.2000000000000003E-2</v>
      </c>
      <c r="E315" s="16">
        <v>2.9000000000000001E-2</v>
      </c>
      <c r="F315" s="16">
        <v>2.7E-2</v>
      </c>
      <c r="G315" s="16">
        <v>2.5999999999999999E-2</v>
      </c>
      <c r="H315" s="16">
        <v>2.1999999999999999E-2</v>
      </c>
    </row>
    <row r="316" spans="1:8" x14ac:dyDescent="0.3">
      <c r="A316" t="s">
        <v>86</v>
      </c>
      <c r="B316" s="5" t="s">
        <v>167</v>
      </c>
      <c r="C316" s="5" t="s">
        <v>38</v>
      </c>
      <c r="D316" s="16">
        <v>4.8000000000000001E-2</v>
      </c>
      <c r="E316" s="16">
        <v>4.1000000000000002E-2</v>
      </c>
      <c r="F316" s="16">
        <v>4.5999999999999999E-2</v>
      </c>
      <c r="G316" s="16">
        <v>5.7000000000000002E-2</v>
      </c>
      <c r="H316" s="16">
        <v>6.4000000000000001E-2</v>
      </c>
    </row>
    <row r="317" spans="1:8" x14ac:dyDescent="0.3">
      <c r="A317" t="s">
        <v>86</v>
      </c>
      <c r="B317" s="5" t="s">
        <v>167</v>
      </c>
      <c r="C317" s="5" t="s">
        <v>40</v>
      </c>
      <c r="D317" s="16">
        <v>0.33300000000000002</v>
      </c>
      <c r="E317" s="16">
        <v>0.36799999999999999</v>
      </c>
      <c r="F317" s="16">
        <v>0.34200000000000003</v>
      </c>
      <c r="G317" s="16">
        <v>0.28799999999999998</v>
      </c>
      <c r="H317" s="16">
        <v>0.28199999999999997</v>
      </c>
    </row>
    <row r="318" spans="1:8" x14ac:dyDescent="0.3">
      <c r="A318" t="s">
        <v>86</v>
      </c>
      <c r="B318" s="5" t="s">
        <v>167</v>
      </c>
      <c r="C318" s="5" t="s">
        <v>42</v>
      </c>
      <c r="D318" s="16">
        <v>0.05</v>
      </c>
      <c r="E318" s="16">
        <v>4.3999999999999997E-2</v>
      </c>
      <c r="F318" s="16">
        <v>5.8000000000000003E-2</v>
      </c>
      <c r="G318" s="16">
        <v>5.6000000000000001E-2</v>
      </c>
      <c r="H318" s="16">
        <v>6.2E-2</v>
      </c>
    </row>
    <row r="319" spans="1:8" x14ac:dyDescent="0.3">
      <c r="A319" t="s">
        <v>86</v>
      </c>
      <c r="B319" s="5" t="s">
        <v>167</v>
      </c>
      <c r="C319" s="5" t="s">
        <v>44</v>
      </c>
      <c r="D319" s="16">
        <v>0.03</v>
      </c>
      <c r="E319" s="16">
        <v>3.6999999999999998E-2</v>
      </c>
      <c r="F319" s="16">
        <v>2.9000000000000001E-2</v>
      </c>
      <c r="G319" s="16">
        <v>2.5000000000000001E-2</v>
      </c>
      <c r="H319" s="16">
        <v>0.02</v>
      </c>
    </row>
    <row r="320" spans="1:8" x14ac:dyDescent="0.3">
      <c r="A320" t="s">
        <v>86</v>
      </c>
      <c r="B320" s="5" t="s">
        <v>167</v>
      </c>
      <c r="C320" s="5" t="s">
        <v>46</v>
      </c>
      <c r="D320" s="16">
        <v>0.17299999999999999</v>
      </c>
      <c r="E320" s="16">
        <v>0.154</v>
      </c>
      <c r="F320" s="16">
        <v>0.17699999999999999</v>
      </c>
      <c r="G320" s="16">
        <v>0.19600000000000001</v>
      </c>
      <c r="H320" s="16">
        <v>0.20599999999999999</v>
      </c>
    </row>
    <row r="321" spans="1:8" x14ac:dyDescent="0.3">
      <c r="A321" t="s">
        <v>86</v>
      </c>
      <c r="B321" s="5" t="s">
        <v>167</v>
      </c>
      <c r="C321" s="5" t="s">
        <v>48</v>
      </c>
      <c r="D321" s="16">
        <v>2.9000000000000001E-2</v>
      </c>
      <c r="E321" s="16">
        <v>1.9E-2</v>
      </c>
      <c r="F321" s="16">
        <v>1.7999999999999999E-2</v>
      </c>
      <c r="G321" s="16">
        <v>1.9E-2</v>
      </c>
      <c r="H321" s="16">
        <v>1.6E-2</v>
      </c>
    </row>
    <row r="322" spans="1:8" x14ac:dyDescent="0.3">
      <c r="A322" t="s">
        <v>86</v>
      </c>
      <c r="B322" s="5" t="s">
        <v>167</v>
      </c>
      <c r="C322" s="5" t="s">
        <v>50</v>
      </c>
      <c r="D322" s="16">
        <v>9.0999999999999998E-2</v>
      </c>
      <c r="E322" s="16">
        <v>9.2999999999999999E-2</v>
      </c>
      <c r="F322" s="16">
        <v>9.2999999999999999E-2</v>
      </c>
      <c r="G322" s="16">
        <v>9.8000000000000004E-2</v>
      </c>
      <c r="H322" s="16">
        <v>0.109</v>
      </c>
    </row>
    <row r="323" spans="1:8" x14ac:dyDescent="0.3">
      <c r="A323" t="s">
        <v>86</v>
      </c>
      <c r="B323" s="5" t="s">
        <v>167</v>
      </c>
      <c r="C323" s="5" t="s">
        <v>52</v>
      </c>
      <c r="D323" s="16">
        <v>5.0000000000000001E-3</v>
      </c>
      <c r="E323" s="16">
        <v>1E-3</v>
      </c>
      <c r="F323" s="16">
        <v>1E-3</v>
      </c>
      <c r="G323" s="16">
        <v>2E-3</v>
      </c>
      <c r="H323" s="16">
        <v>3.0000000000000001E-3</v>
      </c>
    </row>
    <row r="324" spans="1:8" x14ac:dyDescent="0.3">
      <c r="A324" t="s">
        <v>86</v>
      </c>
      <c r="B324" s="5" t="s">
        <v>167</v>
      </c>
      <c r="C324" s="5" t="s">
        <v>54</v>
      </c>
      <c r="D324" s="16">
        <v>3.5999999999999997E-2</v>
      </c>
      <c r="E324" s="16">
        <v>3.5000000000000003E-2</v>
      </c>
      <c r="F324" s="16">
        <v>3.1E-2</v>
      </c>
      <c r="G324" s="16">
        <v>3.5000000000000003E-2</v>
      </c>
      <c r="H324" s="16">
        <v>3.9E-2</v>
      </c>
    </row>
    <row r="325" spans="1:8" x14ac:dyDescent="0.3">
      <c r="A325" t="s">
        <v>86</v>
      </c>
      <c r="B325" s="5" t="s">
        <v>167</v>
      </c>
      <c r="C325" s="5" t="s">
        <v>56</v>
      </c>
      <c r="D325" s="16">
        <v>4.9000000000000002E-2</v>
      </c>
      <c r="E325" s="16">
        <v>6.3E-2</v>
      </c>
      <c r="F325" s="16">
        <v>6.0999999999999999E-2</v>
      </c>
      <c r="G325" s="16">
        <v>6.5000000000000002E-2</v>
      </c>
      <c r="H325" s="16">
        <v>6.6000000000000003E-2</v>
      </c>
    </row>
    <row r="326" spans="1:8" x14ac:dyDescent="0.3">
      <c r="A326" t="s">
        <v>118</v>
      </c>
      <c r="B326" s="5" t="s">
        <v>176</v>
      </c>
      <c r="C326" s="5" t="s">
        <v>34</v>
      </c>
      <c r="D326" s="16">
        <v>0.13373253493013973</v>
      </c>
      <c r="E326" s="16">
        <v>0.1377245508982036</v>
      </c>
      <c r="F326" s="16">
        <v>0.12874251497005987</v>
      </c>
      <c r="G326" s="16">
        <v>0.12275449101796407</v>
      </c>
      <c r="H326" s="16">
        <v>0.10279441117764471</v>
      </c>
    </row>
    <row r="327" spans="1:8" x14ac:dyDescent="0.3">
      <c r="A327" t="s">
        <v>118</v>
      </c>
      <c r="B327" s="5" t="s">
        <v>176</v>
      </c>
      <c r="C327" s="5" t="s">
        <v>36</v>
      </c>
      <c r="D327" s="16">
        <v>3.0938123752495009E-2</v>
      </c>
      <c r="E327" s="16">
        <v>2.7944111776447105E-2</v>
      </c>
      <c r="F327" s="16">
        <v>2.5948103792415168E-2</v>
      </c>
      <c r="G327" s="16">
        <v>2.2954091816367265E-2</v>
      </c>
      <c r="H327" s="16">
        <v>2.0958083832335328E-2</v>
      </c>
    </row>
    <row r="328" spans="1:8" x14ac:dyDescent="0.3">
      <c r="A328" t="s">
        <v>118</v>
      </c>
      <c r="B328" s="5" t="s">
        <v>176</v>
      </c>
      <c r="C328" s="5" t="s">
        <v>38</v>
      </c>
      <c r="D328" s="16">
        <v>3.2934131736526949E-2</v>
      </c>
      <c r="E328" s="16">
        <v>4.4910179640718563E-2</v>
      </c>
      <c r="F328" s="16">
        <v>4.6906187624750496E-2</v>
      </c>
      <c r="G328" s="16">
        <v>5.289421157684631E-2</v>
      </c>
      <c r="H328" s="16">
        <v>5.588822355289421E-2</v>
      </c>
    </row>
    <row r="329" spans="1:8" x14ac:dyDescent="0.3">
      <c r="A329" t="s">
        <v>118</v>
      </c>
      <c r="B329" s="5" t="s">
        <v>176</v>
      </c>
      <c r="C329" s="5" t="s">
        <v>40</v>
      </c>
      <c r="D329" s="16">
        <v>0.39720558882235529</v>
      </c>
      <c r="E329" s="16">
        <v>0.2684630738522954</v>
      </c>
      <c r="F329" s="16">
        <v>0.18562874251497005</v>
      </c>
      <c r="G329" s="16">
        <v>0.1497005988023952</v>
      </c>
      <c r="H329" s="16">
        <v>0.1157684630738523</v>
      </c>
    </row>
    <row r="330" spans="1:8" x14ac:dyDescent="0.3">
      <c r="A330" t="s">
        <v>118</v>
      </c>
      <c r="B330" s="5" t="s">
        <v>176</v>
      </c>
      <c r="C330" s="5" t="s">
        <v>42</v>
      </c>
      <c r="D330" s="16">
        <v>6.0878243512974051E-2</v>
      </c>
      <c r="E330" s="16">
        <v>7.1856287425149698E-2</v>
      </c>
      <c r="F330" s="16">
        <v>7.4850299401197598E-2</v>
      </c>
      <c r="G330" s="16">
        <v>7.5848303393213579E-2</v>
      </c>
      <c r="H330" s="16">
        <v>8.0838323353293412E-2</v>
      </c>
    </row>
    <row r="331" spans="1:8" x14ac:dyDescent="0.3">
      <c r="A331" t="s">
        <v>118</v>
      </c>
      <c r="B331" s="5" t="s">
        <v>176</v>
      </c>
      <c r="C331" s="5" t="s">
        <v>44</v>
      </c>
      <c r="D331" s="16">
        <v>1.1976047904191617E-2</v>
      </c>
      <c r="E331" s="16">
        <v>1.2974051896207584E-2</v>
      </c>
      <c r="F331" s="16">
        <v>1.7964071856287425E-2</v>
      </c>
      <c r="G331" s="16">
        <v>1.4970059880239521E-2</v>
      </c>
      <c r="H331" s="16">
        <v>1.5968063872255488E-2</v>
      </c>
    </row>
    <row r="332" spans="1:8" x14ac:dyDescent="0.3">
      <c r="A332" t="s">
        <v>118</v>
      </c>
      <c r="B332" s="5" t="s">
        <v>176</v>
      </c>
      <c r="C332" s="5" t="s">
        <v>46</v>
      </c>
      <c r="D332" s="16">
        <v>8.2834331337325345E-2</v>
      </c>
      <c r="E332" s="16">
        <v>0.11776447105788423</v>
      </c>
      <c r="F332" s="16">
        <v>0.14471057884231536</v>
      </c>
      <c r="G332" s="16">
        <v>0.16866267465069859</v>
      </c>
      <c r="H332" s="16">
        <v>0.18562874251497005</v>
      </c>
    </row>
    <row r="333" spans="1:8" x14ac:dyDescent="0.3">
      <c r="A333" t="s">
        <v>118</v>
      </c>
      <c r="B333" s="5" t="s">
        <v>176</v>
      </c>
      <c r="C333" s="5" t="s">
        <v>48</v>
      </c>
      <c r="D333" s="16">
        <v>3.3932135728542916E-2</v>
      </c>
      <c r="E333" s="16">
        <v>3.7924151696606789E-2</v>
      </c>
      <c r="F333" s="16">
        <v>3.7924151696606789E-2</v>
      </c>
      <c r="G333" s="16">
        <v>3.5928143712574849E-2</v>
      </c>
      <c r="H333" s="16">
        <v>2.7944111776447105E-2</v>
      </c>
    </row>
    <row r="334" spans="1:8" x14ac:dyDescent="0.3">
      <c r="A334" t="s">
        <v>118</v>
      </c>
      <c r="B334" s="5" t="s">
        <v>176</v>
      </c>
      <c r="C334" s="5" t="s">
        <v>50</v>
      </c>
      <c r="D334" s="16">
        <v>9.2814371257485026E-2</v>
      </c>
      <c r="E334" s="16">
        <v>0.1187624750499002</v>
      </c>
      <c r="F334" s="16">
        <v>0.14570858283433133</v>
      </c>
      <c r="G334" s="16">
        <v>0.15868263473053892</v>
      </c>
      <c r="H334" s="16">
        <v>0.15968063872255489</v>
      </c>
    </row>
    <row r="335" spans="1:8" x14ac:dyDescent="0.3">
      <c r="A335" t="s">
        <v>118</v>
      </c>
      <c r="B335" s="5" t="s">
        <v>176</v>
      </c>
      <c r="C335" s="5" t="s">
        <v>52</v>
      </c>
      <c r="D335" s="16">
        <v>1.0978043912175649E-2</v>
      </c>
      <c r="E335" s="16">
        <v>3.9920159680638719E-3</v>
      </c>
      <c r="F335" s="16">
        <v>9.9800399201596807E-3</v>
      </c>
      <c r="G335" s="16">
        <v>8.9820359281437123E-3</v>
      </c>
      <c r="H335" s="16">
        <v>2.6946107784431138E-2</v>
      </c>
    </row>
    <row r="336" spans="1:8" x14ac:dyDescent="0.3">
      <c r="A336" t="s">
        <v>118</v>
      </c>
      <c r="B336" s="5" t="s">
        <v>176</v>
      </c>
      <c r="C336" s="5" t="s">
        <v>54</v>
      </c>
      <c r="D336" s="16">
        <v>5.3892215568862277E-2</v>
      </c>
      <c r="E336" s="16">
        <v>7.6846307385229545E-2</v>
      </c>
      <c r="F336" s="16">
        <v>9.2814371257485026E-2</v>
      </c>
      <c r="G336" s="16">
        <v>0.10179640718562874</v>
      </c>
      <c r="H336" s="16">
        <v>0.11377245508982035</v>
      </c>
    </row>
    <row r="337" spans="1:8" x14ac:dyDescent="0.3">
      <c r="A337" t="s">
        <v>118</v>
      </c>
      <c r="B337" s="5" t="s">
        <v>176</v>
      </c>
      <c r="C337" s="5" t="s">
        <v>56</v>
      </c>
      <c r="D337" s="16">
        <v>5.7884231536926151E-2</v>
      </c>
      <c r="E337" s="16">
        <v>7.8842315369261479E-2</v>
      </c>
      <c r="F337" s="16">
        <v>8.5828343313373259E-2</v>
      </c>
      <c r="G337" s="16">
        <v>8.4830339321357279E-2</v>
      </c>
      <c r="H337" s="16">
        <v>9.1816367265469059E-2</v>
      </c>
    </row>
    <row r="338" spans="1:8" x14ac:dyDescent="0.3">
      <c r="A338" t="s">
        <v>178</v>
      </c>
      <c r="B338" s="5" t="s">
        <v>177</v>
      </c>
      <c r="C338" s="5" t="s">
        <v>34</v>
      </c>
      <c r="D338" s="16">
        <v>0.10479041916167664</v>
      </c>
      <c r="E338" s="16">
        <v>0.11077844311377245</v>
      </c>
      <c r="F338" s="16">
        <v>0.10778443113772455</v>
      </c>
      <c r="G338" s="16">
        <v>0.10778443113772455</v>
      </c>
      <c r="H338" s="16">
        <v>0.10179640718562874</v>
      </c>
    </row>
    <row r="339" spans="1:8" x14ac:dyDescent="0.3">
      <c r="A339" t="s">
        <v>178</v>
      </c>
      <c r="B339" s="5" t="s">
        <v>177</v>
      </c>
      <c r="C339" s="5" t="s">
        <v>36</v>
      </c>
      <c r="D339" s="16">
        <v>4.0918163672654689E-2</v>
      </c>
      <c r="E339" s="16">
        <v>3.6926147704590816E-2</v>
      </c>
      <c r="F339" s="16">
        <v>3.0938123752495009E-2</v>
      </c>
      <c r="G339" s="16">
        <v>2.6946107784431138E-2</v>
      </c>
      <c r="H339" s="16">
        <v>1.9960079840319361E-2</v>
      </c>
    </row>
    <row r="340" spans="1:8" x14ac:dyDescent="0.3">
      <c r="A340" t="s">
        <v>178</v>
      </c>
      <c r="B340" s="5" t="s">
        <v>177</v>
      </c>
      <c r="C340" s="5" t="s">
        <v>38</v>
      </c>
      <c r="D340" s="16">
        <v>3.4930139720558882E-2</v>
      </c>
      <c r="E340" s="16">
        <v>3.7924151696606789E-2</v>
      </c>
      <c r="F340" s="16">
        <v>4.0918163672654689E-2</v>
      </c>
      <c r="G340" s="16">
        <v>4.790419161676647E-2</v>
      </c>
      <c r="H340" s="16">
        <v>5.289421157684631E-2</v>
      </c>
    </row>
    <row r="341" spans="1:8" x14ac:dyDescent="0.3">
      <c r="A341" t="s">
        <v>178</v>
      </c>
      <c r="B341" s="5" t="s">
        <v>177</v>
      </c>
      <c r="C341" s="5" t="s">
        <v>40</v>
      </c>
      <c r="D341" s="16">
        <v>0.3902195608782435</v>
      </c>
      <c r="E341" s="16">
        <v>0.3592814371257485</v>
      </c>
      <c r="F341" s="16">
        <v>0.32834331337325351</v>
      </c>
      <c r="G341" s="16">
        <v>0.29041916167664672</v>
      </c>
      <c r="H341" s="16">
        <v>0.24151696606786427</v>
      </c>
    </row>
    <row r="342" spans="1:8" x14ac:dyDescent="0.3">
      <c r="A342" t="s">
        <v>178</v>
      </c>
      <c r="B342" s="5" t="s">
        <v>177</v>
      </c>
      <c r="C342" s="5" t="s">
        <v>42</v>
      </c>
      <c r="D342" s="16">
        <v>3.5928143712574849E-2</v>
      </c>
      <c r="E342" s="16">
        <v>4.590818363273453E-2</v>
      </c>
      <c r="F342" s="16">
        <v>5.089820359281437E-2</v>
      </c>
      <c r="G342" s="16">
        <v>5.089820359281437E-2</v>
      </c>
      <c r="H342" s="16">
        <v>5.9880239520958084E-2</v>
      </c>
    </row>
    <row r="343" spans="1:8" x14ac:dyDescent="0.3">
      <c r="A343" t="s">
        <v>178</v>
      </c>
      <c r="B343" s="5" t="s">
        <v>177</v>
      </c>
      <c r="C343" s="5" t="s">
        <v>44</v>
      </c>
      <c r="D343" s="16">
        <v>1.0978043912175649E-2</v>
      </c>
      <c r="E343" s="16">
        <v>1.3972055888223553E-2</v>
      </c>
      <c r="F343" s="16">
        <v>1.3972055888223553E-2</v>
      </c>
      <c r="G343" s="16">
        <v>1.1976047904191617E-2</v>
      </c>
      <c r="H343" s="16">
        <v>1.2974051896207584E-2</v>
      </c>
    </row>
    <row r="344" spans="1:8" x14ac:dyDescent="0.3">
      <c r="A344" t="s">
        <v>178</v>
      </c>
      <c r="B344" s="5" t="s">
        <v>177</v>
      </c>
      <c r="C344" s="5" t="s">
        <v>46</v>
      </c>
      <c r="D344" s="16">
        <v>6.9860279441117765E-2</v>
      </c>
      <c r="E344" s="16">
        <v>8.6826347305389226E-2</v>
      </c>
      <c r="F344" s="16">
        <v>0.11377245508982035</v>
      </c>
      <c r="G344" s="16">
        <v>0.1317365269461078</v>
      </c>
      <c r="H344" s="16">
        <v>0.16367265469061876</v>
      </c>
    </row>
    <row r="345" spans="1:8" x14ac:dyDescent="0.3">
      <c r="A345" t="s">
        <v>178</v>
      </c>
      <c r="B345" s="5" t="s">
        <v>177</v>
      </c>
      <c r="C345" s="5" t="s">
        <v>48</v>
      </c>
      <c r="D345" s="16">
        <v>3.8922155688622756E-2</v>
      </c>
      <c r="E345" s="16">
        <v>3.6926147704590816E-2</v>
      </c>
      <c r="F345" s="16">
        <v>3.3932135728542916E-2</v>
      </c>
      <c r="G345" s="16">
        <v>3.1936127744510975E-2</v>
      </c>
      <c r="H345" s="16">
        <v>2.5948103792415168E-2</v>
      </c>
    </row>
    <row r="346" spans="1:8" x14ac:dyDescent="0.3">
      <c r="A346" t="s">
        <v>178</v>
      </c>
      <c r="B346" s="5" t="s">
        <v>177</v>
      </c>
      <c r="C346" s="5" t="s">
        <v>50</v>
      </c>
      <c r="D346" s="16">
        <v>6.5868263473053898E-2</v>
      </c>
      <c r="E346" s="16">
        <v>7.4850299401197598E-2</v>
      </c>
      <c r="F346" s="16">
        <v>7.7844311377245512E-2</v>
      </c>
      <c r="G346" s="16">
        <v>8.6826347305389226E-2</v>
      </c>
      <c r="H346" s="16">
        <v>9.580838323353294E-2</v>
      </c>
    </row>
    <row r="347" spans="1:8" x14ac:dyDescent="0.3">
      <c r="A347" t="s">
        <v>178</v>
      </c>
      <c r="B347" s="5" t="s">
        <v>177</v>
      </c>
      <c r="C347" s="5" t="s">
        <v>52</v>
      </c>
      <c r="D347" s="16">
        <v>2.3952095808383235E-2</v>
      </c>
      <c r="E347" s="16">
        <v>8.9820359281437123E-3</v>
      </c>
      <c r="F347" s="16">
        <v>8.9820359281437123E-3</v>
      </c>
      <c r="G347" s="16">
        <v>1.0978043912175649E-2</v>
      </c>
      <c r="H347" s="16">
        <v>1.4970059880239521E-2</v>
      </c>
    </row>
    <row r="348" spans="1:8" x14ac:dyDescent="0.3">
      <c r="A348" t="s">
        <v>178</v>
      </c>
      <c r="B348" s="5" t="s">
        <v>177</v>
      </c>
      <c r="C348" s="5" t="s">
        <v>54</v>
      </c>
      <c r="D348" s="16">
        <v>4.6906187624750496E-2</v>
      </c>
      <c r="E348" s="16">
        <v>4.291417165668663E-2</v>
      </c>
      <c r="F348" s="16">
        <v>4.9900199600798403E-2</v>
      </c>
      <c r="G348" s="16">
        <v>5.7884231536926151E-2</v>
      </c>
      <c r="H348" s="16">
        <v>7.0858283433133731E-2</v>
      </c>
    </row>
    <row r="349" spans="1:8" x14ac:dyDescent="0.3">
      <c r="A349" t="s">
        <v>178</v>
      </c>
      <c r="B349" s="5" t="s">
        <v>177</v>
      </c>
      <c r="C349" s="5" t="s">
        <v>56</v>
      </c>
      <c r="D349" s="16">
        <v>0.13672654690618763</v>
      </c>
      <c r="E349" s="16">
        <v>0.14271457085828343</v>
      </c>
      <c r="F349" s="16">
        <v>0.1407185628742515</v>
      </c>
      <c r="G349" s="16">
        <v>0.14271457085828343</v>
      </c>
      <c r="H349" s="16">
        <v>0.13572854291417166</v>
      </c>
    </row>
  </sheetData>
  <phoneticPr fontId="8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0827-992A-43E8-8F44-47CE51E55B6B}">
  <dimension ref="A1:H72"/>
  <sheetViews>
    <sheetView topLeftCell="A42" workbookViewId="0">
      <selection activeCell="A49" sqref="A49:XFD72"/>
    </sheetView>
  </sheetViews>
  <sheetFormatPr defaultRowHeight="14.4" x14ac:dyDescent="0.3"/>
  <sheetData>
    <row r="1" spans="1:8" x14ac:dyDescent="0.3">
      <c r="A1" t="s">
        <v>69</v>
      </c>
      <c r="B1" s="5" t="s">
        <v>150</v>
      </c>
      <c r="C1" s="5" t="s">
        <v>34</v>
      </c>
      <c r="D1" s="16">
        <v>0.30530530530530531</v>
      </c>
      <c r="E1" s="16">
        <v>0.26726726726726729</v>
      </c>
      <c r="F1" s="16">
        <v>0.26226226226226224</v>
      </c>
      <c r="G1" s="16">
        <v>0.23223223223223224</v>
      </c>
      <c r="H1" s="16">
        <v>0.20520520520520522</v>
      </c>
    </row>
    <row r="2" spans="1:8" x14ac:dyDescent="0.3">
      <c r="A2" t="s">
        <v>69</v>
      </c>
      <c r="B2" s="5" t="s">
        <v>150</v>
      </c>
      <c r="C2" s="5" t="s">
        <v>36</v>
      </c>
      <c r="D2" s="16">
        <v>2.9029029029029031E-2</v>
      </c>
      <c r="E2" s="16">
        <v>2.6026026026026026E-2</v>
      </c>
      <c r="F2" s="16">
        <v>2.4024024024024024E-2</v>
      </c>
      <c r="G2" s="16">
        <v>3.1031031031031032E-2</v>
      </c>
      <c r="H2" s="16">
        <v>2.5025025025025027E-2</v>
      </c>
    </row>
    <row r="3" spans="1:8" x14ac:dyDescent="0.3">
      <c r="A3" t="s">
        <v>69</v>
      </c>
      <c r="B3" s="5" t="s">
        <v>150</v>
      </c>
      <c r="C3" s="5" t="s">
        <v>38</v>
      </c>
      <c r="D3" s="16">
        <v>2.3023023023023025E-2</v>
      </c>
      <c r="E3" s="16">
        <v>3.5035035035035036E-2</v>
      </c>
      <c r="F3" s="16">
        <v>5.1051051051051052E-2</v>
      </c>
      <c r="G3" s="16">
        <v>5.8058058058058061E-2</v>
      </c>
      <c r="H3" s="16">
        <v>7.2072072072072071E-2</v>
      </c>
    </row>
    <row r="4" spans="1:8" x14ac:dyDescent="0.3">
      <c r="A4" t="s">
        <v>69</v>
      </c>
      <c r="B4" s="5" t="s">
        <v>150</v>
      </c>
      <c r="C4" s="5" t="s">
        <v>40</v>
      </c>
      <c r="D4" s="16">
        <v>0.39539539539539542</v>
      </c>
      <c r="E4" s="16">
        <v>0.38038038038038036</v>
      </c>
      <c r="F4" s="16">
        <v>0.31731731731731733</v>
      </c>
      <c r="G4" s="16">
        <v>0.3033033033033033</v>
      </c>
      <c r="H4" s="16">
        <v>0.28128128128128127</v>
      </c>
    </row>
    <row r="5" spans="1:8" x14ac:dyDescent="0.3">
      <c r="A5" t="s">
        <v>69</v>
      </c>
      <c r="B5" s="5" t="s">
        <v>150</v>
      </c>
      <c r="C5" s="5" t="s">
        <v>42</v>
      </c>
      <c r="D5" s="16">
        <v>3.5035035035035036E-2</v>
      </c>
      <c r="E5" s="16">
        <v>3.7037037037037035E-2</v>
      </c>
      <c r="F5" s="16">
        <v>3.4034034034034037E-2</v>
      </c>
      <c r="G5" s="16">
        <v>3.7037037037037035E-2</v>
      </c>
      <c r="H5" s="16">
        <v>3.903903903903904E-2</v>
      </c>
    </row>
    <row r="6" spans="1:8" x14ac:dyDescent="0.3">
      <c r="A6" t="s">
        <v>69</v>
      </c>
      <c r="B6" s="5" t="s">
        <v>150</v>
      </c>
      <c r="C6" s="5" t="s">
        <v>44</v>
      </c>
      <c r="D6" s="16">
        <v>2.5025025025025027E-2</v>
      </c>
      <c r="E6" s="16">
        <v>2.3023023023023025E-2</v>
      </c>
      <c r="F6" s="16">
        <v>2.2022022022022022E-2</v>
      </c>
      <c r="G6" s="16">
        <v>2.6026026026026026E-2</v>
      </c>
      <c r="H6" s="16">
        <v>2.3023023023023025E-2</v>
      </c>
    </row>
    <row r="7" spans="1:8" x14ac:dyDescent="0.3">
      <c r="A7" t="s">
        <v>69</v>
      </c>
      <c r="B7" s="5" t="s">
        <v>150</v>
      </c>
      <c r="C7" s="5" t="s">
        <v>46</v>
      </c>
      <c r="D7" s="16">
        <v>5.1051051051051052E-2</v>
      </c>
      <c r="E7" s="16">
        <v>7.0070070070070073E-2</v>
      </c>
      <c r="F7" s="16">
        <v>0.10910910910910911</v>
      </c>
      <c r="G7" s="16">
        <v>0.11611611611611612</v>
      </c>
      <c r="H7" s="16">
        <v>0.12712712712712712</v>
      </c>
    </row>
    <row r="8" spans="1:8" x14ac:dyDescent="0.3">
      <c r="A8" t="s">
        <v>69</v>
      </c>
      <c r="B8" s="5" t="s">
        <v>150</v>
      </c>
      <c r="C8" s="5" t="s">
        <v>48</v>
      </c>
      <c r="D8" s="16">
        <v>4.1041041041041039E-2</v>
      </c>
      <c r="E8" s="16">
        <v>4.2042042042042045E-2</v>
      </c>
      <c r="F8" s="16">
        <v>4.5045045045045043E-2</v>
      </c>
      <c r="G8" s="16">
        <v>4.6046046046046049E-2</v>
      </c>
      <c r="H8" s="16">
        <v>4.7047047047047048E-2</v>
      </c>
    </row>
    <row r="9" spans="1:8" x14ac:dyDescent="0.3">
      <c r="A9" t="s">
        <v>69</v>
      </c>
      <c r="B9" s="5" t="s">
        <v>150</v>
      </c>
      <c r="C9" s="5" t="s">
        <v>50</v>
      </c>
      <c r="D9" s="16">
        <v>3.5035035035035036E-2</v>
      </c>
      <c r="E9" s="16">
        <v>3.903903903903904E-2</v>
      </c>
      <c r="F9" s="16">
        <v>4.4044044044044044E-2</v>
      </c>
      <c r="G9" s="16">
        <v>4.8048048048048048E-2</v>
      </c>
      <c r="H9" s="16">
        <v>5.905905905905906E-2</v>
      </c>
    </row>
    <row r="10" spans="1:8" x14ac:dyDescent="0.3">
      <c r="A10" t="s">
        <v>69</v>
      </c>
      <c r="B10" s="5" t="s">
        <v>150</v>
      </c>
      <c r="C10" s="5" t="s">
        <v>52</v>
      </c>
      <c r="D10" s="16">
        <v>2.002002002002002E-3</v>
      </c>
      <c r="E10" s="16">
        <v>4.004004004004004E-3</v>
      </c>
      <c r="F10" s="16">
        <v>7.0070070070070069E-3</v>
      </c>
      <c r="G10" s="16">
        <v>7.0070070070070069E-3</v>
      </c>
      <c r="H10" s="16">
        <v>1.4014014014014014E-2</v>
      </c>
    </row>
    <row r="11" spans="1:8" x14ac:dyDescent="0.3">
      <c r="A11" t="s">
        <v>69</v>
      </c>
      <c r="B11" s="5" t="s">
        <v>150</v>
      </c>
      <c r="C11" s="5" t="s">
        <v>54</v>
      </c>
      <c r="D11" s="16">
        <v>1.001001001001001E-2</v>
      </c>
      <c r="E11" s="16">
        <v>1.4014014014014014E-2</v>
      </c>
      <c r="F11" s="16">
        <v>1.7017017017017019E-2</v>
      </c>
      <c r="G11" s="16">
        <v>2.1021021021021023E-2</v>
      </c>
      <c r="H11" s="16">
        <v>3.2032032032032032E-2</v>
      </c>
    </row>
    <row r="12" spans="1:8" x14ac:dyDescent="0.3">
      <c r="A12" t="s">
        <v>69</v>
      </c>
      <c r="B12" s="5" t="s">
        <v>150</v>
      </c>
      <c r="C12" s="5" t="s">
        <v>56</v>
      </c>
      <c r="D12" s="16">
        <v>4.8048048048048048E-2</v>
      </c>
      <c r="E12" s="16">
        <v>6.2062062062062065E-2</v>
      </c>
      <c r="F12" s="16">
        <v>6.7067067067067068E-2</v>
      </c>
      <c r="G12" s="16">
        <v>7.5075075075075076E-2</v>
      </c>
      <c r="H12" s="16">
        <v>7.6076076076076082E-2</v>
      </c>
    </row>
    <row r="13" spans="1:8" x14ac:dyDescent="0.3">
      <c r="A13" t="s">
        <v>88</v>
      </c>
      <c r="B13" s="5" t="s">
        <v>168</v>
      </c>
      <c r="C13" s="5" t="s">
        <v>34</v>
      </c>
      <c r="D13" s="16">
        <v>0.35099999999999998</v>
      </c>
      <c r="E13" s="16">
        <v>0.30599999999999999</v>
      </c>
      <c r="F13" s="16">
        <v>0.29299999999999998</v>
      </c>
      <c r="G13" s="16">
        <v>0.28399999999999997</v>
      </c>
      <c r="H13" s="16">
        <v>0.25</v>
      </c>
    </row>
    <row r="14" spans="1:8" x14ac:dyDescent="0.3">
      <c r="A14" t="s">
        <v>88</v>
      </c>
      <c r="B14" s="5" t="s">
        <v>168</v>
      </c>
      <c r="C14" s="5" t="s">
        <v>36</v>
      </c>
      <c r="D14" s="16">
        <v>2.8000000000000001E-2</v>
      </c>
      <c r="E14" s="16">
        <v>3.4000000000000002E-2</v>
      </c>
      <c r="F14" s="16">
        <v>2.7E-2</v>
      </c>
      <c r="G14" s="16">
        <v>3.3000000000000002E-2</v>
      </c>
      <c r="H14" s="16">
        <v>3.1E-2</v>
      </c>
    </row>
    <row r="15" spans="1:8" x14ac:dyDescent="0.3">
      <c r="A15" t="s">
        <v>88</v>
      </c>
      <c r="B15" s="5" t="s">
        <v>168</v>
      </c>
      <c r="C15" s="5" t="s">
        <v>38</v>
      </c>
      <c r="D15" s="16">
        <v>0.03</v>
      </c>
      <c r="E15" s="16">
        <v>4.7E-2</v>
      </c>
      <c r="F15" s="16">
        <v>6.3E-2</v>
      </c>
      <c r="G15" s="16">
        <v>8.3000000000000004E-2</v>
      </c>
      <c r="H15" s="16">
        <v>9.1999999999999998E-2</v>
      </c>
    </row>
    <row r="16" spans="1:8" x14ac:dyDescent="0.3">
      <c r="A16" t="s">
        <v>88</v>
      </c>
      <c r="B16" s="5" t="s">
        <v>168</v>
      </c>
      <c r="C16" s="5" t="s">
        <v>40</v>
      </c>
      <c r="D16" s="16">
        <v>0.33300000000000002</v>
      </c>
      <c r="E16" s="16">
        <v>0.35299999999999998</v>
      </c>
      <c r="F16" s="16">
        <v>0.315</v>
      </c>
      <c r="G16" s="16">
        <v>0.27800000000000002</v>
      </c>
      <c r="H16" s="16">
        <v>0.251</v>
      </c>
    </row>
    <row r="17" spans="1:8" x14ac:dyDescent="0.3">
      <c r="A17" t="s">
        <v>88</v>
      </c>
      <c r="B17" s="5" t="s">
        <v>168</v>
      </c>
      <c r="C17" s="5" t="s">
        <v>42</v>
      </c>
      <c r="D17" s="16">
        <v>2.9000000000000001E-2</v>
      </c>
      <c r="E17" s="16">
        <v>2.4E-2</v>
      </c>
      <c r="F17" s="16">
        <v>2.8000000000000001E-2</v>
      </c>
      <c r="G17" s="16">
        <v>3.1E-2</v>
      </c>
      <c r="H17" s="16">
        <v>0.04</v>
      </c>
    </row>
    <row r="18" spans="1:8" x14ac:dyDescent="0.3">
      <c r="A18" t="s">
        <v>88</v>
      </c>
      <c r="B18" s="5" t="s">
        <v>168</v>
      </c>
      <c r="C18" s="5" t="s">
        <v>44</v>
      </c>
      <c r="D18" s="16">
        <v>4.5999999999999999E-2</v>
      </c>
      <c r="E18" s="16">
        <v>3.7999999999999999E-2</v>
      </c>
      <c r="F18" s="16">
        <v>0.04</v>
      </c>
      <c r="G18" s="16">
        <v>2.9000000000000001E-2</v>
      </c>
      <c r="H18" s="16">
        <v>3.3000000000000002E-2</v>
      </c>
    </row>
    <row r="19" spans="1:8" x14ac:dyDescent="0.3">
      <c r="A19" t="s">
        <v>88</v>
      </c>
      <c r="B19" s="5" t="s">
        <v>168</v>
      </c>
      <c r="C19" s="5" t="s">
        <v>46</v>
      </c>
      <c r="D19" s="16">
        <v>5.8000000000000003E-2</v>
      </c>
      <c r="E19" s="16">
        <v>7.3999999999999996E-2</v>
      </c>
      <c r="F19" s="16">
        <v>8.3000000000000004E-2</v>
      </c>
      <c r="G19" s="16">
        <v>9.5000000000000001E-2</v>
      </c>
      <c r="H19" s="16">
        <v>0.10199999999999999</v>
      </c>
    </row>
    <row r="20" spans="1:8" x14ac:dyDescent="0.3">
      <c r="A20" t="s">
        <v>88</v>
      </c>
      <c r="B20" s="5" t="s">
        <v>168</v>
      </c>
      <c r="C20" s="5" t="s">
        <v>48</v>
      </c>
      <c r="D20" s="16">
        <v>3.9E-2</v>
      </c>
      <c r="E20" s="16">
        <v>0.04</v>
      </c>
      <c r="F20" s="16">
        <v>4.9000000000000002E-2</v>
      </c>
      <c r="G20" s="16">
        <v>4.7E-2</v>
      </c>
      <c r="H20" s="16">
        <v>5.3999999999999999E-2</v>
      </c>
    </row>
    <row r="21" spans="1:8" x14ac:dyDescent="0.3">
      <c r="A21" t="s">
        <v>88</v>
      </c>
      <c r="B21" s="5" t="s">
        <v>168</v>
      </c>
      <c r="C21" s="5" t="s">
        <v>50</v>
      </c>
      <c r="D21" s="16">
        <v>1.7999999999999999E-2</v>
      </c>
      <c r="E21" s="16">
        <v>2.3E-2</v>
      </c>
      <c r="F21" s="16">
        <v>2.8000000000000001E-2</v>
      </c>
      <c r="G21" s="16">
        <v>2.7E-2</v>
      </c>
      <c r="H21" s="16">
        <v>3.6999999999999998E-2</v>
      </c>
    </row>
    <row r="22" spans="1:8" x14ac:dyDescent="0.3">
      <c r="A22" t="s">
        <v>88</v>
      </c>
      <c r="B22" s="5" t="s">
        <v>168</v>
      </c>
      <c r="C22" s="5" t="s">
        <v>52</v>
      </c>
      <c r="D22" s="16">
        <v>2.1000000000000001E-2</v>
      </c>
      <c r="E22" s="16">
        <v>6.0000000000000001E-3</v>
      </c>
      <c r="F22" s="16">
        <v>1.6E-2</v>
      </c>
      <c r="G22" s="16">
        <v>2.1999999999999999E-2</v>
      </c>
      <c r="H22" s="16">
        <v>2.9000000000000001E-2</v>
      </c>
    </row>
    <row r="23" spans="1:8" x14ac:dyDescent="0.3">
      <c r="A23" t="s">
        <v>88</v>
      </c>
      <c r="B23" s="5" t="s">
        <v>168</v>
      </c>
      <c r="C23" s="5" t="s">
        <v>54</v>
      </c>
      <c r="D23" s="16">
        <v>1.4999999999999999E-2</v>
      </c>
      <c r="E23" s="16">
        <v>1.9E-2</v>
      </c>
      <c r="F23" s="16">
        <v>2.1000000000000001E-2</v>
      </c>
      <c r="G23" s="16">
        <v>2.9000000000000001E-2</v>
      </c>
      <c r="H23" s="16">
        <v>3.1E-2</v>
      </c>
    </row>
    <row r="24" spans="1:8" x14ac:dyDescent="0.3">
      <c r="A24" t="s">
        <v>88</v>
      </c>
      <c r="B24" s="5" t="s">
        <v>168</v>
      </c>
      <c r="C24" s="5" t="s">
        <v>56</v>
      </c>
      <c r="D24" s="16">
        <v>3.2000000000000001E-2</v>
      </c>
      <c r="E24" s="16">
        <v>3.5000000000000003E-2</v>
      </c>
      <c r="F24" s="16">
        <v>3.7999999999999999E-2</v>
      </c>
      <c r="G24" s="16">
        <v>4.2000000000000003E-2</v>
      </c>
      <c r="H24" s="16">
        <v>0.05</v>
      </c>
    </row>
    <row r="25" spans="1:8" x14ac:dyDescent="0.3">
      <c r="A25" t="s">
        <v>119</v>
      </c>
      <c r="B25" s="5" t="s">
        <v>169</v>
      </c>
      <c r="C25" s="5" t="s">
        <v>34</v>
      </c>
      <c r="D25" s="16">
        <v>0.52700000000000002</v>
      </c>
      <c r="E25" s="16">
        <v>0.48699999999999999</v>
      </c>
      <c r="F25" s="16">
        <v>0.46200000000000002</v>
      </c>
      <c r="G25" s="16">
        <v>0.42899999999999999</v>
      </c>
      <c r="H25" s="16">
        <v>0.36799999999999999</v>
      </c>
    </row>
    <row r="26" spans="1:8" x14ac:dyDescent="0.3">
      <c r="A26" t="s">
        <v>119</v>
      </c>
      <c r="B26" s="5" t="s">
        <v>169</v>
      </c>
      <c r="C26" s="5" t="s">
        <v>36</v>
      </c>
      <c r="D26" s="16">
        <v>3.3000000000000002E-2</v>
      </c>
      <c r="E26" s="16">
        <v>4.2999999999999997E-2</v>
      </c>
      <c r="F26" s="16">
        <v>3.9E-2</v>
      </c>
      <c r="G26" s="16">
        <v>4.3999999999999997E-2</v>
      </c>
      <c r="H26" s="16">
        <v>3.7999999999999999E-2</v>
      </c>
    </row>
    <row r="27" spans="1:8" x14ac:dyDescent="0.3">
      <c r="A27" t="s">
        <v>119</v>
      </c>
      <c r="B27" s="5" t="s">
        <v>169</v>
      </c>
      <c r="C27" s="5" t="s">
        <v>38</v>
      </c>
      <c r="D27" s="16">
        <v>3.5999999999999997E-2</v>
      </c>
      <c r="E27" s="16">
        <v>5.2999999999999999E-2</v>
      </c>
      <c r="F27" s="16">
        <v>5.8999999999999997E-2</v>
      </c>
      <c r="G27" s="16">
        <v>6.4000000000000001E-2</v>
      </c>
      <c r="H27" s="16">
        <v>8.5999999999999993E-2</v>
      </c>
    </row>
    <row r="28" spans="1:8" x14ac:dyDescent="0.3">
      <c r="A28" t="s">
        <v>119</v>
      </c>
      <c r="B28" s="5" t="s">
        <v>169</v>
      </c>
      <c r="C28" s="5" t="s">
        <v>40</v>
      </c>
      <c r="D28" s="16">
        <v>0.16200000000000001</v>
      </c>
      <c r="E28" s="16">
        <v>0.17499999999999999</v>
      </c>
      <c r="F28" s="16">
        <v>0.14099999999999999</v>
      </c>
      <c r="G28" s="16">
        <v>0.14799999999999999</v>
      </c>
      <c r="H28" s="16">
        <v>0.154</v>
      </c>
    </row>
    <row r="29" spans="1:8" x14ac:dyDescent="0.3">
      <c r="A29" t="s">
        <v>119</v>
      </c>
      <c r="B29" s="5" t="s">
        <v>169</v>
      </c>
      <c r="C29" s="5" t="s">
        <v>42</v>
      </c>
      <c r="D29" s="16">
        <v>4.1000000000000002E-2</v>
      </c>
      <c r="E29" s="16">
        <v>3.6999999999999998E-2</v>
      </c>
      <c r="F29" s="16">
        <v>5.8999999999999997E-2</v>
      </c>
      <c r="G29" s="16">
        <v>4.4999999999999998E-2</v>
      </c>
      <c r="H29" s="16">
        <v>6.5000000000000002E-2</v>
      </c>
    </row>
    <row r="30" spans="1:8" x14ac:dyDescent="0.3">
      <c r="A30" t="s">
        <v>119</v>
      </c>
      <c r="B30" s="5" t="s">
        <v>169</v>
      </c>
      <c r="C30" s="5" t="s">
        <v>44</v>
      </c>
      <c r="D30" s="16">
        <v>6.5000000000000002E-2</v>
      </c>
      <c r="E30" s="16">
        <v>4.3999999999999997E-2</v>
      </c>
      <c r="F30" s="16">
        <v>4.1000000000000002E-2</v>
      </c>
      <c r="G30" s="16">
        <v>4.8000000000000001E-2</v>
      </c>
      <c r="H30" s="16">
        <v>3.2000000000000001E-2</v>
      </c>
    </row>
    <row r="31" spans="1:8" x14ac:dyDescent="0.3">
      <c r="A31" t="s">
        <v>119</v>
      </c>
      <c r="B31" s="5" t="s">
        <v>169</v>
      </c>
      <c r="C31" s="5" t="s">
        <v>46</v>
      </c>
      <c r="D31" s="16">
        <v>2.8000000000000001E-2</v>
      </c>
      <c r="E31" s="16">
        <v>4.1000000000000002E-2</v>
      </c>
      <c r="F31" s="16">
        <v>0.05</v>
      </c>
      <c r="G31" s="16">
        <v>5.8999999999999997E-2</v>
      </c>
      <c r="H31" s="16">
        <v>7.0999999999999994E-2</v>
      </c>
    </row>
    <row r="32" spans="1:8" x14ac:dyDescent="0.3">
      <c r="A32" t="s">
        <v>119</v>
      </c>
      <c r="B32" s="5" t="s">
        <v>169</v>
      </c>
      <c r="C32" s="5" t="s">
        <v>48</v>
      </c>
      <c r="D32" s="16">
        <v>0.02</v>
      </c>
      <c r="E32" s="16">
        <v>2.8000000000000001E-2</v>
      </c>
      <c r="F32" s="16">
        <v>3.7999999999999999E-2</v>
      </c>
      <c r="G32" s="16">
        <v>4.1000000000000002E-2</v>
      </c>
      <c r="H32" s="16">
        <v>3.5000000000000003E-2</v>
      </c>
    </row>
    <row r="33" spans="1:8" x14ac:dyDescent="0.3">
      <c r="A33" t="s">
        <v>119</v>
      </c>
      <c r="B33" s="5" t="s">
        <v>169</v>
      </c>
      <c r="C33" s="5" t="s">
        <v>50</v>
      </c>
      <c r="D33" s="16">
        <v>0.03</v>
      </c>
      <c r="E33" s="16">
        <v>2.4E-2</v>
      </c>
      <c r="F33" s="16">
        <v>2.8000000000000001E-2</v>
      </c>
      <c r="G33" s="16">
        <v>2.5000000000000001E-2</v>
      </c>
      <c r="H33" s="16">
        <v>3.1E-2</v>
      </c>
    </row>
    <row r="34" spans="1:8" x14ac:dyDescent="0.3">
      <c r="A34" t="s">
        <v>119</v>
      </c>
      <c r="B34" s="5" t="s">
        <v>169</v>
      </c>
      <c r="C34" s="5" t="s">
        <v>52</v>
      </c>
      <c r="D34" s="16">
        <v>0</v>
      </c>
      <c r="E34" s="16">
        <v>2E-3</v>
      </c>
      <c r="F34" s="16">
        <v>3.0000000000000001E-3</v>
      </c>
      <c r="G34" s="16">
        <v>7.0000000000000001E-3</v>
      </c>
      <c r="H34" s="16">
        <v>6.0000000000000001E-3</v>
      </c>
    </row>
    <row r="35" spans="1:8" x14ac:dyDescent="0.3">
      <c r="A35" t="s">
        <v>119</v>
      </c>
      <c r="B35" s="5" t="s">
        <v>169</v>
      </c>
      <c r="C35" s="5" t="s">
        <v>54</v>
      </c>
      <c r="D35" s="16">
        <v>1.0999999999999999E-2</v>
      </c>
      <c r="E35" s="16">
        <v>2.5999999999999999E-2</v>
      </c>
      <c r="F35" s="16">
        <v>3.6999999999999998E-2</v>
      </c>
      <c r="G35" s="16">
        <v>4.2000000000000003E-2</v>
      </c>
      <c r="H35" s="16">
        <v>5.3999999999999999E-2</v>
      </c>
    </row>
    <row r="36" spans="1:8" x14ac:dyDescent="0.3">
      <c r="A36" t="s">
        <v>119</v>
      </c>
      <c r="B36" s="5" t="s">
        <v>169</v>
      </c>
      <c r="C36" s="5" t="s">
        <v>56</v>
      </c>
      <c r="D36" s="16">
        <v>4.7E-2</v>
      </c>
      <c r="E36" s="16">
        <v>3.9E-2</v>
      </c>
      <c r="F36" s="16">
        <v>4.3999999999999997E-2</v>
      </c>
      <c r="G36" s="16">
        <v>4.8000000000000001E-2</v>
      </c>
      <c r="H36" s="16">
        <v>6.0999999999999999E-2</v>
      </c>
    </row>
    <row r="37" spans="1:8" x14ac:dyDescent="0.3">
      <c r="A37" t="s">
        <v>90</v>
      </c>
      <c r="B37" s="5" t="s">
        <v>170</v>
      </c>
      <c r="C37" s="5" t="s">
        <v>34</v>
      </c>
      <c r="D37" s="16">
        <v>0.36199999999999999</v>
      </c>
      <c r="E37" s="16">
        <v>0.32500000000000001</v>
      </c>
      <c r="F37" s="16">
        <v>0.308</v>
      </c>
      <c r="G37" s="16">
        <v>0.29399999999999998</v>
      </c>
      <c r="H37" s="16">
        <v>0.25800000000000001</v>
      </c>
    </row>
    <row r="38" spans="1:8" x14ac:dyDescent="0.3">
      <c r="A38" t="s">
        <v>90</v>
      </c>
      <c r="B38" s="5" t="s">
        <v>170</v>
      </c>
      <c r="C38" s="5" t="s">
        <v>36</v>
      </c>
      <c r="D38" s="16">
        <v>0.04</v>
      </c>
      <c r="E38" s="16">
        <v>4.1000000000000002E-2</v>
      </c>
      <c r="F38" s="16">
        <v>4.1000000000000002E-2</v>
      </c>
      <c r="G38" s="16">
        <v>3.7999999999999999E-2</v>
      </c>
      <c r="H38" s="16">
        <v>3.5000000000000003E-2</v>
      </c>
    </row>
    <row r="39" spans="1:8" x14ac:dyDescent="0.3">
      <c r="A39" t="s">
        <v>90</v>
      </c>
      <c r="B39" s="5" t="s">
        <v>170</v>
      </c>
      <c r="C39" s="5" t="s">
        <v>38</v>
      </c>
      <c r="D39" s="16">
        <v>1.7999999999999999E-2</v>
      </c>
      <c r="E39" s="16">
        <v>2.8000000000000001E-2</v>
      </c>
      <c r="F39" s="16">
        <v>3.7999999999999999E-2</v>
      </c>
      <c r="G39" s="16">
        <v>4.4999999999999998E-2</v>
      </c>
      <c r="H39" s="16">
        <v>5.5E-2</v>
      </c>
    </row>
    <row r="40" spans="1:8" x14ac:dyDescent="0.3">
      <c r="A40" t="s">
        <v>90</v>
      </c>
      <c r="B40" s="5" t="s">
        <v>170</v>
      </c>
      <c r="C40" s="5" t="s">
        <v>40</v>
      </c>
      <c r="D40" s="16">
        <v>0.34200000000000003</v>
      </c>
      <c r="E40" s="16">
        <v>0.34200000000000003</v>
      </c>
      <c r="F40" s="16">
        <v>0.313</v>
      </c>
      <c r="G40" s="16">
        <v>0.3</v>
      </c>
      <c r="H40" s="16">
        <v>0.28399999999999997</v>
      </c>
    </row>
    <row r="41" spans="1:8" x14ac:dyDescent="0.3">
      <c r="A41" t="s">
        <v>90</v>
      </c>
      <c r="B41" s="5" t="s">
        <v>170</v>
      </c>
      <c r="C41" s="5" t="s">
        <v>42</v>
      </c>
      <c r="D41" s="16">
        <v>3.7999999999999999E-2</v>
      </c>
      <c r="E41" s="16">
        <v>3.7999999999999999E-2</v>
      </c>
      <c r="F41" s="16">
        <v>3.7999999999999999E-2</v>
      </c>
      <c r="G41" s="16">
        <v>3.6999999999999998E-2</v>
      </c>
      <c r="H41" s="16">
        <v>3.9E-2</v>
      </c>
    </row>
    <row r="42" spans="1:8" x14ac:dyDescent="0.3">
      <c r="A42" t="s">
        <v>90</v>
      </c>
      <c r="B42" s="5" t="s">
        <v>170</v>
      </c>
      <c r="C42" s="5" t="s">
        <v>44</v>
      </c>
      <c r="D42" s="16">
        <v>4.7E-2</v>
      </c>
      <c r="E42" s="16">
        <v>3.6999999999999998E-2</v>
      </c>
      <c r="F42" s="16">
        <v>3.7999999999999999E-2</v>
      </c>
      <c r="G42" s="16">
        <v>3.1E-2</v>
      </c>
      <c r="H42" s="16">
        <v>3.1E-2</v>
      </c>
    </row>
    <row r="43" spans="1:8" x14ac:dyDescent="0.3">
      <c r="A43" t="s">
        <v>90</v>
      </c>
      <c r="B43" s="5" t="s">
        <v>170</v>
      </c>
      <c r="C43" s="5" t="s">
        <v>46</v>
      </c>
      <c r="D43" s="16">
        <v>4.1000000000000002E-2</v>
      </c>
      <c r="E43" s="16">
        <v>0.05</v>
      </c>
      <c r="F43" s="16">
        <v>7.0999999999999994E-2</v>
      </c>
      <c r="G43" s="16">
        <v>8.6999999999999994E-2</v>
      </c>
      <c r="H43" s="16">
        <v>0.106</v>
      </c>
    </row>
    <row r="44" spans="1:8" x14ac:dyDescent="0.3">
      <c r="A44" t="s">
        <v>90</v>
      </c>
      <c r="B44" s="5" t="s">
        <v>170</v>
      </c>
      <c r="C44" s="5" t="s">
        <v>48</v>
      </c>
      <c r="D44" s="16">
        <v>3.5000000000000003E-2</v>
      </c>
      <c r="E44" s="16">
        <v>4.3999999999999997E-2</v>
      </c>
      <c r="F44" s="16">
        <v>4.4999999999999998E-2</v>
      </c>
      <c r="G44" s="16">
        <v>4.7E-2</v>
      </c>
      <c r="H44" s="16">
        <v>4.5999999999999999E-2</v>
      </c>
    </row>
    <row r="45" spans="1:8" x14ac:dyDescent="0.3">
      <c r="A45" t="s">
        <v>90</v>
      </c>
      <c r="B45" s="5" t="s">
        <v>170</v>
      </c>
      <c r="C45" s="5" t="s">
        <v>50</v>
      </c>
      <c r="D45" s="16">
        <v>0.02</v>
      </c>
      <c r="E45" s="16">
        <v>2.5999999999999999E-2</v>
      </c>
      <c r="F45" s="16">
        <v>3.4000000000000002E-2</v>
      </c>
      <c r="G45" s="16">
        <v>0.04</v>
      </c>
      <c r="H45" s="16">
        <v>5.0999999999999997E-2</v>
      </c>
    </row>
    <row r="46" spans="1:8" x14ac:dyDescent="0.3">
      <c r="A46" t="s">
        <v>90</v>
      </c>
      <c r="B46" s="5" t="s">
        <v>170</v>
      </c>
      <c r="C46" s="5" t="s">
        <v>52</v>
      </c>
      <c r="D46" s="16">
        <v>2E-3</v>
      </c>
      <c r="E46" s="16">
        <v>8.0000000000000002E-3</v>
      </c>
      <c r="F46" s="16">
        <v>7.0000000000000001E-3</v>
      </c>
      <c r="G46" s="16">
        <v>0.01</v>
      </c>
      <c r="H46" s="16">
        <v>1.6E-2</v>
      </c>
    </row>
    <row r="47" spans="1:8" x14ac:dyDescent="0.3">
      <c r="A47" t="s">
        <v>90</v>
      </c>
      <c r="B47" s="5" t="s">
        <v>170</v>
      </c>
      <c r="C47" s="5" t="s">
        <v>54</v>
      </c>
      <c r="D47" s="16">
        <v>1.0999999999999999E-2</v>
      </c>
      <c r="E47" s="16">
        <v>1.7000000000000001E-2</v>
      </c>
      <c r="F47" s="16">
        <v>2.1000000000000001E-2</v>
      </c>
      <c r="G47" s="16">
        <v>2.3E-2</v>
      </c>
      <c r="H47" s="16">
        <v>3.1E-2</v>
      </c>
    </row>
    <row r="48" spans="1:8" x14ac:dyDescent="0.3">
      <c r="A48" t="s">
        <v>90</v>
      </c>
      <c r="B48" s="5" t="s">
        <v>170</v>
      </c>
      <c r="C48" s="5" t="s">
        <v>56</v>
      </c>
      <c r="D48" s="16">
        <v>4.3999999999999997E-2</v>
      </c>
      <c r="E48" s="16">
        <v>4.4999999999999998E-2</v>
      </c>
      <c r="F48" s="16">
        <v>4.5999999999999999E-2</v>
      </c>
      <c r="G48" s="16">
        <v>4.7E-2</v>
      </c>
      <c r="H48" s="16">
        <v>4.8000000000000001E-2</v>
      </c>
    </row>
    <row r="49" spans="1:8" x14ac:dyDescent="0.3">
      <c r="A49" t="s">
        <v>125</v>
      </c>
      <c r="B49" s="5" t="s">
        <v>171</v>
      </c>
      <c r="C49" s="5" t="s">
        <v>34</v>
      </c>
      <c r="D49" s="16">
        <v>0.29659318637274551</v>
      </c>
      <c r="E49" s="16">
        <v>0.25150300601202402</v>
      </c>
      <c r="F49" s="16">
        <v>0.22344689378757515</v>
      </c>
      <c r="G49" s="16">
        <v>0.19739478957915832</v>
      </c>
      <c r="H49" s="16">
        <v>0.14428857715430862</v>
      </c>
    </row>
    <row r="50" spans="1:8" x14ac:dyDescent="0.3">
      <c r="A50" t="s">
        <v>125</v>
      </c>
      <c r="B50" s="5" t="s">
        <v>171</v>
      </c>
      <c r="C50" s="5" t="s">
        <v>36</v>
      </c>
      <c r="D50" s="16">
        <v>5.0100200400801605E-2</v>
      </c>
      <c r="E50" s="16">
        <v>5.2104208416833664E-2</v>
      </c>
      <c r="F50" s="16">
        <v>4.9098196392785572E-2</v>
      </c>
      <c r="G50" s="16">
        <v>4.7094188376753505E-2</v>
      </c>
      <c r="H50" s="16">
        <v>3.2064128256513023E-2</v>
      </c>
    </row>
    <row r="51" spans="1:8" x14ac:dyDescent="0.3">
      <c r="A51" t="s">
        <v>125</v>
      </c>
      <c r="B51" s="5" t="s">
        <v>171</v>
      </c>
      <c r="C51" s="5" t="s">
        <v>38</v>
      </c>
      <c r="D51" s="16">
        <v>4.2084168336673347E-2</v>
      </c>
      <c r="E51" s="16">
        <v>4.6092184368737472E-2</v>
      </c>
      <c r="F51" s="16">
        <v>5.0100200400801605E-2</v>
      </c>
      <c r="G51" s="16">
        <v>5.1102204408817638E-2</v>
      </c>
      <c r="H51" s="16">
        <v>5.6112224448897796E-2</v>
      </c>
    </row>
    <row r="52" spans="1:8" x14ac:dyDescent="0.3">
      <c r="A52" t="s">
        <v>125</v>
      </c>
      <c r="B52" s="5" t="s">
        <v>171</v>
      </c>
      <c r="C52" s="5" t="s">
        <v>40</v>
      </c>
      <c r="D52" s="16">
        <v>0.32765531062124248</v>
      </c>
      <c r="E52" s="16">
        <v>0.28957915831663328</v>
      </c>
      <c r="F52" s="16">
        <v>0.26953907815631262</v>
      </c>
      <c r="G52" s="16">
        <v>0.25050100200400799</v>
      </c>
      <c r="H52" s="16">
        <v>0.22444889779559118</v>
      </c>
    </row>
    <row r="53" spans="1:8" x14ac:dyDescent="0.3">
      <c r="A53" t="s">
        <v>125</v>
      </c>
      <c r="B53" s="5" t="s">
        <v>171</v>
      </c>
      <c r="C53" s="5" t="s">
        <v>42</v>
      </c>
      <c r="D53" s="16">
        <v>5.7114228456913829E-2</v>
      </c>
      <c r="E53" s="16">
        <v>6.2124248496993988E-2</v>
      </c>
      <c r="F53" s="16">
        <v>6.513026052104208E-2</v>
      </c>
      <c r="G53" s="16">
        <v>6.4128256513026047E-2</v>
      </c>
      <c r="H53" s="16">
        <v>6.513026052104208E-2</v>
      </c>
    </row>
    <row r="54" spans="1:8" x14ac:dyDescent="0.3">
      <c r="A54" t="s">
        <v>125</v>
      </c>
      <c r="B54" s="5" t="s">
        <v>171</v>
      </c>
      <c r="C54" s="5" t="s">
        <v>44</v>
      </c>
      <c r="D54" s="16">
        <v>2.004008016032064E-2</v>
      </c>
      <c r="E54" s="16">
        <v>2.004008016032064E-2</v>
      </c>
      <c r="F54" s="16">
        <v>1.9038076152304611E-2</v>
      </c>
      <c r="G54" s="16">
        <v>2.004008016032064E-2</v>
      </c>
      <c r="H54" s="16">
        <v>2.2044088176352707E-2</v>
      </c>
    </row>
    <row r="55" spans="1:8" x14ac:dyDescent="0.3">
      <c r="A55" t="s">
        <v>125</v>
      </c>
      <c r="B55" s="5" t="s">
        <v>171</v>
      </c>
      <c r="C55" s="5" t="s">
        <v>46</v>
      </c>
      <c r="D55" s="16">
        <v>8.3166332665330661E-2</v>
      </c>
      <c r="E55" s="16">
        <v>0.12925851703406813</v>
      </c>
      <c r="F55" s="16">
        <v>0.15731462925851702</v>
      </c>
      <c r="G55" s="16">
        <v>0.18236472945891782</v>
      </c>
      <c r="H55" s="16">
        <v>0.21943887775551102</v>
      </c>
    </row>
    <row r="56" spans="1:8" x14ac:dyDescent="0.3">
      <c r="A56" t="s">
        <v>125</v>
      </c>
      <c r="B56" s="5" t="s">
        <v>171</v>
      </c>
      <c r="C56" s="5" t="s">
        <v>48</v>
      </c>
      <c r="D56" s="16">
        <v>2.9058116232464931E-2</v>
      </c>
      <c r="E56" s="16">
        <v>3.3066132264529056E-2</v>
      </c>
      <c r="F56" s="16">
        <v>3.9078156312625248E-2</v>
      </c>
      <c r="G56" s="16">
        <v>4.1082164328657314E-2</v>
      </c>
      <c r="H56" s="16">
        <v>3.7074148296593189E-2</v>
      </c>
    </row>
    <row r="57" spans="1:8" x14ac:dyDescent="0.3">
      <c r="A57" t="s">
        <v>125</v>
      </c>
      <c r="B57" s="5" t="s">
        <v>171</v>
      </c>
      <c r="C57" s="5" t="s">
        <v>50</v>
      </c>
      <c r="D57" s="16">
        <v>1.7034068136272545E-2</v>
      </c>
      <c r="E57" s="16">
        <v>2.2044088176352707E-2</v>
      </c>
      <c r="F57" s="16">
        <v>2.4048096192384769E-2</v>
      </c>
      <c r="G57" s="16">
        <v>2.8056112224448898E-2</v>
      </c>
      <c r="H57" s="16">
        <v>3.7074148296593189E-2</v>
      </c>
    </row>
    <row r="58" spans="1:8" x14ac:dyDescent="0.3">
      <c r="A58" t="s">
        <v>125</v>
      </c>
      <c r="B58" s="5" t="s">
        <v>171</v>
      </c>
      <c r="C58" s="5" t="s">
        <v>52</v>
      </c>
      <c r="D58" s="16">
        <v>5.0100200400801601E-3</v>
      </c>
      <c r="E58" s="16">
        <v>8.0160320641282558E-3</v>
      </c>
      <c r="F58" s="16">
        <v>1.2024048096192385E-2</v>
      </c>
      <c r="G58" s="16">
        <v>1.6032064128256512E-2</v>
      </c>
      <c r="H58" s="16">
        <v>4.1082164328657314E-2</v>
      </c>
    </row>
    <row r="59" spans="1:8" x14ac:dyDescent="0.3">
      <c r="A59" t="s">
        <v>125</v>
      </c>
      <c r="B59" s="5" t="s">
        <v>171</v>
      </c>
      <c r="C59" s="5" t="s">
        <v>54</v>
      </c>
      <c r="D59" s="16">
        <v>4.2084168336673347E-2</v>
      </c>
      <c r="E59" s="16">
        <v>5.1102204408817638E-2</v>
      </c>
      <c r="F59" s="16">
        <v>5.7114228456913829E-2</v>
      </c>
      <c r="G59" s="16">
        <v>6.2124248496993988E-2</v>
      </c>
      <c r="H59" s="16">
        <v>7.4148296593186377E-2</v>
      </c>
    </row>
    <row r="60" spans="1:8" x14ac:dyDescent="0.3">
      <c r="A60" t="s">
        <v>125</v>
      </c>
      <c r="B60" s="5" t="s">
        <v>171</v>
      </c>
      <c r="C60" s="5" t="s">
        <v>56</v>
      </c>
      <c r="D60" s="16">
        <v>3.0060120240480961E-2</v>
      </c>
      <c r="E60" s="16">
        <v>3.6072144288577156E-2</v>
      </c>
      <c r="F60" s="16">
        <v>3.7074148296593189E-2</v>
      </c>
      <c r="G60" s="16">
        <v>4.1082164328657314E-2</v>
      </c>
      <c r="H60" s="16">
        <v>5.0100200400801605E-2</v>
      </c>
    </row>
    <row r="61" spans="1:8" x14ac:dyDescent="0.3">
      <c r="A61" t="s">
        <v>126</v>
      </c>
      <c r="B61" s="5" t="s">
        <v>172</v>
      </c>
      <c r="C61" s="5" t="s">
        <v>34</v>
      </c>
      <c r="D61" s="16">
        <v>0.47547547547547547</v>
      </c>
      <c r="E61" s="16">
        <v>0.44744744744744747</v>
      </c>
      <c r="F61" s="16">
        <v>0.42642642642642642</v>
      </c>
      <c r="G61" s="16">
        <v>0.42342342342342343</v>
      </c>
      <c r="H61" s="16">
        <v>0.39939939939939939</v>
      </c>
    </row>
    <row r="62" spans="1:8" x14ac:dyDescent="0.3">
      <c r="A62" t="s">
        <v>126</v>
      </c>
      <c r="B62" s="5" t="s">
        <v>172</v>
      </c>
      <c r="C62" s="5" t="s">
        <v>36</v>
      </c>
      <c r="D62" s="16">
        <v>5.1051051051051052E-2</v>
      </c>
      <c r="E62" s="16">
        <v>4.4044044044044044E-2</v>
      </c>
      <c r="F62" s="16">
        <v>4.2042042042042045E-2</v>
      </c>
      <c r="G62" s="16">
        <v>3.7037037037037035E-2</v>
      </c>
      <c r="H62" s="16">
        <v>3.8038038038038041E-2</v>
      </c>
    </row>
    <row r="63" spans="1:8" x14ac:dyDescent="0.3">
      <c r="A63" t="s">
        <v>126</v>
      </c>
      <c r="B63" s="5" t="s">
        <v>172</v>
      </c>
      <c r="C63" s="5" t="s">
        <v>38</v>
      </c>
      <c r="D63" s="16">
        <v>3.7037037037037035E-2</v>
      </c>
      <c r="E63" s="16">
        <v>3.2032032032032032E-2</v>
      </c>
      <c r="F63" s="16">
        <v>3.8038038038038041E-2</v>
      </c>
      <c r="G63" s="16">
        <v>4.5045045045045043E-2</v>
      </c>
      <c r="H63" s="16">
        <v>5.1051051051051052E-2</v>
      </c>
    </row>
    <row r="64" spans="1:8" x14ac:dyDescent="0.3">
      <c r="A64" t="s">
        <v>126</v>
      </c>
      <c r="B64" s="5" t="s">
        <v>172</v>
      </c>
      <c r="C64" s="5" t="s">
        <v>40</v>
      </c>
      <c r="D64" s="16">
        <v>0.27427427427427425</v>
      </c>
      <c r="E64" s="16">
        <v>0.29429429429429427</v>
      </c>
      <c r="F64" s="16">
        <v>0.30630630630630629</v>
      </c>
      <c r="G64" s="16">
        <v>0.30630630630630629</v>
      </c>
      <c r="H64" s="16">
        <v>0.29229229229229231</v>
      </c>
    </row>
    <row r="65" spans="1:8" x14ac:dyDescent="0.3">
      <c r="A65" t="s">
        <v>126</v>
      </c>
      <c r="B65" s="5" t="s">
        <v>172</v>
      </c>
      <c r="C65" s="5" t="s">
        <v>42</v>
      </c>
      <c r="D65" s="16">
        <v>3.903903903903904E-2</v>
      </c>
      <c r="E65" s="16">
        <v>3.7037037037037035E-2</v>
      </c>
      <c r="F65" s="16">
        <v>3.4034034034034037E-2</v>
      </c>
      <c r="G65" s="16">
        <v>3.4034034034034037E-2</v>
      </c>
      <c r="H65" s="16">
        <v>3.5035035035035036E-2</v>
      </c>
    </row>
    <row r="66" spans="1:8" x14ac:dyDescent="0.3">
      <c r="A66" t="s">
        <v>126</v>
      </c>
      <c r="B66" s="5" t="s">
        <v>172</v>
      </c>
      <c r="C66" s="5" t="s">
        <v>44</v>
      </c>
      <c r="D66" s="16">
        <v>3.6036036036036036E-2</v>
      </c>
      <c r="E66" s="16">
        <v>3.5035035035035036E-2</v>
      </c>
      <c r="F66" s="16">
        <v>2.7027027027027029E-2</v>
      </c>
      <c r="G66" s="16">
        <v>2.6026026026026026E-2</v>
      </c>
      <c r="H66" s="16">
        <v>2.002002002002002E-2</v>
      </c>
    </row>
    <row r="67" spans="1:8" x14ac:dyDescent="0.3">
      <c r="A67" t="s">
        <v>126</v>
      </c>
      <c r="B67" s="5" t="s">
        <v>172</v>
      </c>
      <c r="C67" s="5" t="s">
        <v>46</v>
      </c>
      <c r="D67" s="16">
        <v>2.9029029029029031E-2</v>
      </c>
      <c r="E67" s="16">
        <v>3.903903903903904E-2</v>
      </c>
      <c r="F67" s="16">
        <v>4.5045045045045043E-2</v>
      </c>
      <c r="G67" s="16">
        <v>4.5045045045045043E-2</v>
      </c>
      <c r="H67" s="16">
        <v>5.2052052052052052E-2</v>
      </c>
    </row>
    <row r="68" spans="1:8" x14ac:dyDescent="0.3">
      <c r="A68" t="s">
        <v>126</v>
      </c>
      <c r="B68" s="5" t="s">
        <v>172</v>
      </c>
      <c r="C68" s="5" t="s">
        <v>48</v>
      </c>
      <c r="D68" s="16">
        <v>2.4024024024024024E-2</v>
      </c>
      <c r="E68" s="16">
        <v>2.7027027027027029E-2</v>
      </c>
      <c r="F68" s="16">
        <v>3.003003003003003E-2</v>
      </c>
      <c r="G68" s="16">
        <v>2.7027027027027029E-2</v>
      </c>
      <c r="H68" s="16">
        <v>2.8028028028028028E-2</v>
      </c>
    </row>
    <row r="69" spans="1:8" x14ac:dyDescent="0.3">
      <c r="A69" t="s">
        <v>126</v>
      </c>
      <c r="B69" s="5" t="s">
        <v>172</v>
      </c>
      <c r="C69" s="5" t="s">
        <v>50</v>
      </c>
      <c r="D69" s="16">
        <v>3.003003003003003E-3</v>
      </c>
      <c r="E69" s="16">
        <v>3.003003003003003E-3</v>
      </c>
      <c r="F69" s="16">
        <v>4.004004004004004E-3</v>
      </c>
      <c r="G69" s="16">
        <v>6.006006006006006E-3</v>
      </c>
      <c r="H69" s="16">
        <v>8.0080080080080079E-3</v>
      </c>
    </row>
    <row r="70" spans="1:8" x14ac:dyDescent="0.3">
      <c r="A70" t="s">
        <v>126</v>
      </c>
      <c r="B70" s="5" t="s">
        <v>172</v>
      </c>
      <c r="C70" s="5" t="s">
        <v>52</v>
      </c>
      <c r="D70" s="16">
        <v>1.001001001001001E-3</v>
      </c>
      <c r="E70" s="16">
        <v>4.004004004004004E-3</v>
      </c>
      <c r="F70" s="16">
        <v>3.003003003003003E-3</v>
      </c>
      <c r="G70" s="16">
        <v>7.0070070070070069E-3</v>
      </c>
      <c r="H70" s="16">
        <v>6.006006006006006E-3</v>
      </c>
    </row>
    <row r="71" spans="1:8" x14ac:dyDescent="0.3">
      <c r="A71" t="s">
        <v>126</v>
      </c>
      <c r="B71" s="5" t="s">
        <v>172</v>
      </c>
      <c r="C71" s="5" t="s">
        <v>54</v>
      </c>
      <c r="D71" s="16">
        <v>8.0080080080080079E-3</v>
      </c>
      <c r="E71" s="16">
        <v>1.5015015015015015E-2</v>
      </c>
      <c r="F71" s="16">
        <v>1.9019019019019021E-2</v>
      </c>
      <c r="G71" s="16">
        <v>2.1021021021021023E-2</v>
      </c>
      <c r="H71" s="16">
        <v>3.7037037037037035E-2</v>
      </c>
    </row>
    <row r="72" spans="1:8" x14ac:dyDescent="0.3">
      <c r="A72" t="s">
        <v>126</v>
      </c>
      <c r="B72" s="5" t="s">
        <v>172</v>
      </c>
      <c r="C72" s="5" t="s">
        <v>56</v>
      </c>
      <c r="D72" s="16">
        <v>2.2022022022022022E-2</v>
      </c>
      <c r="E72" s="16">
        <v>2.2022022022022022E-2</v>
      </c>
      <c r="F72" s="16">
        <v>2.6026026026026026E-2</v>
      </c>
      <c r="G72" s="16">
        <v>2.4024024024024024E-2</v>
      </c>
      <c r="H72" s="16">
        <v>3.3033033033033031E-2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13ED-8B73-4A52-BC68-3ACE14BF1DD0}">
  <dimension ref="A1:E30"/>
  <sheetViews>
    <sheetView workbookViewId="0">
      <selection sqref="A1:E38"/>
    </sheetView>
  </sheetViews>
  <sheetFormatPr defaultRowHeight="14.4" x14ac:dyDescent="0.3"/>
  <sheetData>
    <row r="1" spans="1:5" x14ac:dyDescent="0.3">
      <c r="A1" cm="1">
        <f t="array" ref="A1:A30">_xlfn.UNIQUE(GAMSdataOLD!B:B)</f>
        <v>0</v>
      </c>
      <c r="B1" cm="1">
        <f t="array" ref="B1:B30">_xlfn.UNIQUE(GAMSdataOLD!A:A)</f>
        <v>0</v>
      </c>
    </row>
    <row r="2" spans="1:5" x14ac:dyDescent="0.3">
      <c r="A2" t="str">
        <v>AT</v>
      </c>
      <c r="B2" t="str">
        <v>Austria</v>
      </c>
      <c r="D2" t="str">
        <f>_xlfn.TEXTJOIN(", ",TRUE,B2:B35)</f>
        <v>Austria, Belgium, Bulgaria, Czechia, Denmark, Germany, Estonia, Ireland, Greece, Spain, France, Italy, Cyprus, Latvia, Lithuania, Luxembourg, Hungary, Malta, Netherlands, Poland, Portugal, Romania, Slovenia, Slovakia, Finland, Sweden, Norway, UnitedKingdom, Switzerland</v>
      </c>
    </row>
    <row r="3" spans="1:5" x14ac:dyDescent="0.3">
      <c r="A3" t="str">
        <v>BE</v>
      </c>
      <c r="B3" t="str">
        <v>Belgium</v>
      </c>
    </row>
    <row r="4" spans="1:5" x14ac:dyDescent="0.3">
      <c r="A4" t="str">
        <v>BG</v>
      </c>
      <c r="B4" t="str">
        <v>Bulgaria</v>
      </c>
      <c r="D4" t="s">
        <v>140</v>
      </c>
    </row>
    <row r="5" spans="1:5" x14ac:dyDescent="0.3">
      <c r="A5" t="str">
        <v>CZ</v>
      </c>
      <c r="B5" t="str">
        <v>Czechia</v>
      </c>
    </row>
    <row r="6" spans="1:5" x14ac:dyDescent="0.3">
      <c r="A6" t="str">
        <v>DK</v>
      </c>
      <c r="B6" t="str">
        <v>Denmark</v>
      </c>
      <c r="D6" cm="1">
        <f t="array" ref="D6:D18">_xlfn.UNIQUE(GAMSdataOLD!C:C)</f>
        <v>0</v>
      </c>
    </row>
    <row r="7" spans="1:5" x14ac:dyDescent="0.3">
      <c r="A7" t="str">
        <v>DE</v>
      </c>
      <c r="B7" t="str">
        <v>Germany</v>
      </c>
      <c r="D7" t="str">
        <v>CP01</v>
      </c>
    </row>
    <row r="8" spans="1:5" x14ac:dyDescent="0.3">
      <c r="A8" t="str">
        <v>EE</v>
      </c>
      <c r="B8" t="str">
        <v>Estonia</v>
      </c>
      <c r="D8" t="str">
        <v>CP02</v>
      </c>
      <c r="E8" t="str">
        <f>_xlfn.TEXTJOIN(", ", TRUE, D7:D18)</f>
        <v>CP01, CP02, CP03, CP04, CP05, CP06, CP07, CP08, CP09, CP10, CP11, CP12</v>
      </c>
    </row>
    <row r="9" spans="1:5" x14ac:dyDescent="0.3">
      <c r="A9" t="str">
        <v>IE</v>
      </c>
      <c r="B9" t="str">
        <v>Ireland</v>
      </c>
      <c r="D9" t="str">
        <v>CP03</v>
      </c>
      <c r="E9" t="s">
        <v>174</v>
      </c>
    </row>
    <row r="10" spans="1:5" x14ac:dyDescent="0.3">
      <c r="A10" t="str">
        <v>GR</v>
      </c>
      <c r="B10" t="str">
        <v>Greece</v>
      </c>
      <c r="D10" t="str">
        <v>CP04</v>
      </c>
      <c r="E10" t="str">
        <f>_xlfn.TEXTJOIN(", ",TRUE,A2:A35)</f>
        <v>AT, BE, BG, CZ, DK, DE, EE, IE, GR, ES, FR, IT, CY, LV, LT, LU, HU, MT, NL, PL, PT, RO, SI, SK, FI, SE, NO, GB, CH</v>
      </c>
    </row>
    <row r="11" spans="1:5" x14ac:dyDescent="0.3">
      <c r="A11" t="str">
        <v>ES</v>
      </c>
      <c r="B11" t="str">
        <v>Spain</v>
      </c>
      <c r="D11" t="str">
        <v>CP05</v>
      </c>
      <c r="E11" t="s">
        <v>173</v>
      </c>
    </row>
    <row r="12" spans="1:5" x14ac:dyDescent="0.3">
      <c r="A12" t="str">
        <v>FR</v>
      </c>
      <c r="B12" t="str">
        <v>France</v>
      </c>
      <c r="D12" t="str">
        <v>CP06</v>
      </c>
    </row>
    <row r="13" spans="1:5" x14ac:dyDescent="0.3">
      <c r="A13" t="str">
        <v>IT</v>
      </c>
      <c r="B13" t="str">
        <v>Italy</v>
      </c>
      <c r="D13" t="str">
        <v>CP07</v>
      </c>
    </row>
    <row r="14" spans="1:5" x14ac:dyDescent="0.3">
      <c r="A14" t="str">
        <v>CY</v>
      </c>
      <c r="B14" t="str">
        <v>Cyprus</v>
      </c>
      <c r="D14" t="str">
        <v>CP08</v>
      </c>
    </row>
    <row r="15" spans="1:5" x14ac:dyDescent="0.3">
      <c r="A15" t="str">
        <v>LV</v>
      </c>
      <c r="B15" t="str">
        <v>Latvia</v>
      </c>
      <c r="D15" t="str">
        <v>CP09</v>
      </c>
    </row>
    <row r="16" spans="1:5" x14ac:dyDescent="0.3">
      <c r="A16" t="str">
        <v>LT</v>
      </c>
      <c r="B16" t="str">
        <v>Lithuania</v>
      </c>
      <c r="D16" t="str">
        <v>CP10</v>
      </c>
    </row>
    <row r="17" spans="1:4" x14ac:dyDescent="0.3">
      <c r="A17" t="str">
        <v>LU</v>
      </c>
      <c r="B17" t="str">
        <v>Luxembourg</v>
      </c>
      <c r="D17" t="str">
        <v>CP11</v>
      </c>
    </row>
    <row r="18" spans="1:4" x14ac:dyDescent="0.3">
      <c r="A18" t="str">
        <v>HU</v>
      </c>
      <c r="B18" t="str">
        <v>Hungary</v>
      </c>
      <c r="D18" t="str">
        <v>CP12</v>
      </c>
    </row>
    <row r="19" spans="1:4" x14ac:dyDescent="0.3">
      <c r="A19" t="str">
        <v>MT</v>
      </c>
      <c r="B19" t="str">
        <v>Malta</v>
      </c>
    </row>
    <row r="20" spans="1:4" x14ac:dyDescent="0.3">
      <c r="A20" t="str">
        <v>NL</v>
      </c>
      <c r="B20" t="str">
        <v>Netherlands</v>
      </c>
    </row>
    <row r="21" spans="1:4" x14ac:dyDescent="0.3">
      <c r="A21" t="str">
        <v>PL</v>
      </c>
      <c r="B21" t="str">
        <v>Poland</v>
      </c>
    </row>
    <row r="22" spans="1:4" x14ac:dyDescent="0.3">
      <c r="A22" t="str">
        <v>PT</v>
      </c>
      <c r="B22" t="str">
        <v>Portugal</v>
      </c>
    </row>
    <row r="23" spans="1:4" x14ac:dyDescent="0.3">
      <c r="A23" t="str">
        <v>RO</v>
      </c>
      <c r="B23" t="str">
        <v>Romania</v>
      </c>
    </row>
    <row r="24" spans="1:4" x14ac:dyDescent="0.3">
      <c r="A24" t="str">
        <v>SI</v>
      </c>
      <c r="B24" t="str">
        <v>Slovenia</v>
      </c>
    </row>
    <row r="25" spans="1:4" x14ac:dyDescent="0.3">
      <c r="A25" t="str">
        <v>SK</v>
      </c>
      <c r="B25" t="str">
        <v>Slovakia</v>
      </c>
    </row>
    <row r="26" spans="1:4" x14ac:dyDescent="0.3">
      <c r="A26" t="str">
        <v>FI</v>
      </c>
      <c r="B26" t="str">
        <v>Finland</v>
      </c>
    </row>
    <row r="27" spans="1:4" x14ac:dyDescent="0.3">
      <c r="A27" t="str">
        <v>SE</v>
      </c>
      <c r="B27" t="str">
        <v>Sweden</v>
      </c>
    </row>
    <row r="28" spans="1:4" x14ac:dyDescent="0.3">
      <c r="A28" t="str">
        <v>NO</v>
      </c>
      <c r="B28" t="str">
        <v>Norway</v>
      </c>
    </row>
    <row r="29" spans="1:4" x14ac:dyDescent="0.3">
      <c r="A29" t="str">
        <v>GB</v>
      </c>
      <c r="B29" t="str">
        <v>UnitedKingdom</v>
      </c>
    </row>
    <row r="30" spans="1:4" x14ac:dyDescent="0.3">
      <c r="A30" t="str">
        <v>CH</v>
      </c>
      <c r="B30" t="str">
        <v>Switzerland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3525-B296-40B2-AB1D-3E818E6DEA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7DD7-EEBF-434B-9194-AEBC71F1382B}">
  <dimension ref="A1:D5"/>
  <sheetViews>
    <sheetView workbookViewId="0"/>
  </sheetViews>
  <sheetFormatPr defaultRowHeight="14.4" x14ac:dyDescent="0.3"/>
  <sheetData>
    <row r="1" spans="1:4" x14ac:dyDescent="0.3">
      <c r="C1" t="s">
        <v>129</v>
      </c>
      <c r="D1" t="s">
        <v>130</v>
      </c>
    </row>
    <row r="2" spans="1:4" x14ac:dyDescent="0.3">
      <c r="A2" t="s">
        <v>133</v>
      </c>
      <c r="B2" t="s">
        <v>131</v>
      </c>
      <c r="C2">
        <v>1</v>
      </c>
      <c r="D2">
        <v>2</v>
      </c>
    </row>
    <row r="3" spans="1:4" x14ac:dyDescent="0.3">
      <c r="A3" t="s">
        <v>133</v>
      </c>
      <c r="B3" t="s">
        <v>132</v>
      </c>
      <c r="C3">
        <v>3</v>
      </c>
      <c r="D3">
        <v>4</v>
      </c>
    </row>
    <row r="4" spans="1:4" x14ac:dyDescent="0.3">
      <c r="A4" t="s">
        <v>134</v>
      </c>
      <c r="B4" t="s">
        <v>131</v>
      </c>
      <c r="C4">
        <v>5</v>
      </c>
      <c r="D4">
        <v>6</v>
      </c>
    </row>
    <row r="5" spans="1:4" x14ac:dyDescent="0.3">
      <c r="A5" t="s">
        <v>134</v>
      </c>
      <c r="B5" t="s">
        <v>132</v>
      </c>
      <c r="C5">
        <v>7</v>
      </c>
      <c r="D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Structure</vt:lpstr>
      <vt:lpstr>Sheet 1</vt:lpstr>
      <vt:lpstr>Flags 1</vt:lpstr>
      <vt:lpstr>GAMSdata</vt:lpstr>
      <vt:lpstr>GAMSdataOLD</vt:lpstr>
      <vt:lpstr>Deleted countries</vt:lpstr>
      <vt:lpstr>Sheet2</vt:lpstr>
      <vt:lpstr>Sheet1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Aurora Kolstad</cp:lastModifiedBy>
  <dcterms:created xsi:type="dcterms:W3CDTF">2025-09-09T16:24:53Z</dcterms:created>
  <dcterms:modified xsi:type="dcterms:W3CDTF">2025-11-10T10:57:01Z</dcterms:modified>
</cp:coreProperties>
</file>