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urorako_ntnu_no/Documents/Masteroppgave/GAMS_04/"/>
    </mc:Choice>
  </mc:AlternateContent>
  <xr:revisionPtr revIDLastSave="325" documentId="11_F25DC773A252ABDACC1048CD419F5DEA5ADE58ED" xr6:coauthVersionLast="47" xr6:coauthVersionMax="47" xr10:uidLastSave="{489A2CCE-3EAC-4379-9E86-3A6C14FADAA7}"/>
  <bookViews>
    <workbookView xWindow="-108" yWindow="-108" windowWidth="23256" windowHeight="13896" activeTab="4" xr2:uid="{00000000-000D-0000-FFFF-FFFF00000000}"/>
  </bookViews>
  <sheets>
    <sheet name="Commodities" sheetId="1" r:id="rId1"/>
    <sheet name="Sectors" sheetId="3" r:id="rId2"/>
    <sheet name="Sheet4" sheetId="4" r:id="rId3"/>
    <sheet name="Sheet2" sheetId="2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5" l="1"/>
  <c r="D72" i="3" l="1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A74" i="3" l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51" i="1"/>
  <c r="A84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" i="3"/>
  <c r="B3" i="3"/>
  <c r="B5" i="3"/>
  <c r="B6" i="3"/>
  <c r="B8" i="3"/>
  <c r="B9" i="3"/>
  <c r="B10" i="3"/>
  <c r="B11" i="3"/>
  <c r="B12" i="3"/>
  <c r="B13" i="3"/>
  <c r="B14" i="3"/>
  <c r="B15" i="3"/>
  <c r="B16" i="3"/>
  <c r="B17" i="3"/>
  <c r="B18" i="3"/>
  <c r="B21" i="3"/>
  <c r="B22" i="3"/>
  <c r="B24" i="3"/>
  <c r="B25" i="3"/>
  <c r="B2" i="3"/>
  <c r="E5" i="3"/>
  <c r="E21" i="3"/>
  <c r="E10" i="3"/>
  <c r="E6" i="3"/>
  <c r="E22" i="3"/>
  <c r="E25" i="3"/>
  <c r="E7" i="3"/>
  <c r="E23" i="3"/>
  <c r="E24" i="3"/>
  <c r="E8" i="3"/>
  <c r="E9" i="3"/>
  <c r="E11" i="3"/>
  <c r="E13" i="3"/>
  <c r="E14" i="3"/>
  <c r="E15" i="3"/>
  <c r="E18" i="3"/>
  <c r="E19" i="3"/>
  <c r="E20" i="3"/>
  <c r="E16" i="3"/>
  <c r="E17" i="3"/>
  <c r="E12" i="3"/>
  <c r="E3" i="3"/>
  <c r="E4" i="3"/>
  <c r="E2" i="3"/>
  <c r="A27" i="3" l="1"/>
  <c r="B23" i="3"/>
  <c r="B7" i="3"/>
  <c r="B20" i="3"/>
  <c r="B4" i="3"/>
  <c r="B19" i="3"/>
  <c r="B19" i="1" l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6" i="1"/>
  <c r="B17" i="1"/>
  <c r="B18" i="1"/>
  <c r="B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15" i="1"/>
  <c r="E46" i="1"/>
  <c r="E45" i="1"/>
  <c r="E44" i="1"/>
  <c r="E43" i="1"/>
  <c r="E42" i="1"/>
  <c r="E41" i="1"/>
  <c r="E19" i="1"/>
  <c r="E35" i="1"/>
  <c r="E20" i="1"/>
  <c r="E36" i="1"/>
  <c r="E37" i="1"/>
  <c r="E22" i="1"/>
  <c r="E38" i="1"/>
  <c r="E23" i="1"/>
  <c r="E40" i="1"/>
  <c r="E28" i="1"/>
  <c r="E39" i="1"/>
  <c r="E25" i="1"/>
  <c r="E26" i="1"/>
  <c r="E27" i="1"/>
  <c r="E21" i="1"/>
  <c r="E24" i="1"/>
  <c r="E29" i="1"/>
  <c r="E30" i="1"/>
  <c r="E31" i="1"/>
  <c r="E32" i="1"/>
  <c r="E33" i="1"/>
  <c r="E34" i="1"/>
  <c r="E18" i="1"/>
  <c r="E16" i="1"/>
  <c r="E17" i="1"/>
  <c r="E15" i="1"/>
  <c r="A48" i="1" l="1"/>
</calcChain>
</file>

<file path=xl/sharedStrings.xml><?xml version="1.0" encoding="utf-8"?>
<sst xmlns="http://schemas.openxmlformats.org/spreadsheetml/2006/main" count="738" uniqueCount="461">
  <si>
    <t>CP01</t>
  </si>
  <si>
    <t>Food and non-alcoholic beverages</t>
  </si>
  <si>
    <t>CP02</t>
  </si>
  <si>
    <t>Alcoholic beverages, tobacco and narcotics</t>
  </si>
  <si>
    <t>CP03</t>
  </si>
  <si>
    <t>Clothing and footwear</t>
  </si>
  <si>
    <t>CP04</t>
  </si>
  <si>
    <t>Housing, water, electricity, gas and other fuels</t>
  </si>
  <si>
    <t>CP05</t>
  </si>
  <si>
    <t>Furnishings, household equipment and routine household maintenance</t>
  </si>
  <si>
    <t>CP06</t>
  </si>
  <si>
    <t>Health</t>
  </si>
  <si>
    <t>CP07</t>
  </si>
  <si>
    <t>Transport</t>
  </si>
  <si>
    <t>CP08</t>
  </si>
  <si>
    <t>Communications</t>
  </si>
  <si>
    <t>CP09</t>
  </si>
  <si>
    <t>Recreation and culture</t>
  </si>
  <si>
    <t>CP10</t>
  </si>
  <si>
    <t>Education</t>
  </si>
  <si>
    <t>CP11</t>
  </si>
  <si>
    <t>Restaurants and hotels</t>
  </si>
  <si>
    <t>CP12</t>
  </si>
  <si>
    <t>Miscellaneous goods and services</t>
  </si>
  <si>
    <t>C-AAGR</t>
  </si>
  <si>
    <t>C-IMIN</t>
  </si>
  <si>
    <t>C-IRES</t>
  </si>
  <si>
    <t>C-NG</t>
  </si>
  <si>
    <t>C-BIO</t>
  </si>
  <si>
    <t>C-POWF</t>
  </si>
  <si>
    <t>C-POWR</t>
  </si>
  <si>
    <t>C-POWT</t>
  </si>
  <si>
    <t>C-LTH</t>
  </si>
  <si>
    <t>C-COTH</t>
  </si>
  <si>
    <t>C-CCON</t>
  </si>
  <si>
    <t>C-CWSR</t>
  </si>
  <si>
    <t>C-COFF</t>
  </si>
  <si>
    <t>C-C_TRAI</t>
  </si>
  <si>
    <t>C-C_TLND</t>
  </si>
  <si>
    <t>C-C_TPIP</t>
  </si>
  <si>
    <t>C-CHEA</t>
  </si>
  <si>
    <t>C-Waste</t>
  </si>
  <si>
    <t>C-COAL</t>
  </si>
  <si>
    <t>C-CRUDE-OIL</t>
  </si>
  <si>
    <t>C-GASE</t>
  </si>
  <si>
    <t>C-OIL-GSL</t>
  </si>
  <si>
    <t>C-OIL-JET</t>
  </si>
  <si>
    <t>C-OIL-KER</t>
  </si>
  <si>
    <t>C-OIL-DSL</t>
  </si>
  <si>
    <t>C-OIL-HDI</t>
  </si>
  <si>
    <t>C-OIL-LDSF</t>
  </si>
  <si>
    <t>C-IMEA</t>
  </si>
  <si>
    <t>C-C_TWAS</t>
  </si>
  <si>
    <t>C-C_TWAI</t>
  </si>
  <si>
    <t>C-C_TAIR</t>
  </si>
  <si>
    <t>C-COIL</t>
  </si>
  <si>
    <t>COMMODITIES (SAM)</t>
  </si>
  <si>
    <t>COICOP Codes</t>
  </si>
  <si>
    <t>Paddy rice </t>
  </si>
  <si>
    <t>Wheat </t>
  </si>
  <si>
    <t>Cereal grains nec </t>
  </si>
  <si>
    <t>Vegetables, fruit, nuts </t>
  </si>
  <si>
    <t>Oil seeds </t>
  </si>
  <si>
    <t>Sugar cane, sugar beet </t>
  </si>
  <si>
    <t>Plant-based fibers </t>
  </si>
  <si>
    <t>Crops nec </t>
  </si>
  <si>
    <t>Cattle </t>
  </si>
  <si>
    <t>Pigs </t>
  </si>
  <si>
    <t>Poultry </t>
  </si>
  <si>
    <t>Meat animals nec </t>
  </si>
  <si>
    <t>Animal products nec </t>
  </si>
  <si>
    <t>Raw milk </t>
  </si>
  <si>
    <t>Wool, silk-worm cocoons </t>
  </si>
  <si>
    <t>Manure (conventional treatment) </t>
  </si>
  <si>
    <t>Manure (biogas treatment) </t>
  </si>
  <si>
    <t>Products of forestry, logging and related services </t>
  </si>
  <si>
    <t>Fish and other fishing products; services incidental of fishing </t>
  </si>
  <si>
    <t>Uranium and thorium ores </t>
  </si>
  <si>
    <t>Iron ores </t>
  </si>
  <si>
    <t>Copper ores and concentrates </t>
  </si>
  <si>
    <t>Nickel ores and concentrates </t>
  </si>
  <si>
    <t>Aluminium ores and concentrates </t>
  </si>
  <si>
    <t>Precious metal ores and concentrates </t>
  </si>
  <si>
    <t>Lead, zinc and tin ores and concentrates </t>
  </si>
  <si>
    <t>Other non-ferrous metal ores and concentrates </t>
  </si>
  <si>
    <t>Stone </t>
  </si>
  <si>
    <t>Sand and clay </t>
  </si>
  <si>
    <t>Chemical and fertilizer minerals, salt and other mining and quarrying products n.e.c. </t>
  </si>
  <si>
    <t>Products of meat cattle </t>
  </si>
  <si>
    <t>Products of meat pigs </t>
  </si>
  <si>
    <t>Products of meat poultry </t>
  </si>
  <si>
    <t>Meat products nec </t>
  </si>
  <si>
    <t>products of Vegetable oils and fats </t>
  </si>
  <si>
    <t>Dairy products </t>
  </si>
  <si>
    <t>Processed rice </t>
  </si>
  <si>
    <t>Sugar </t>
  </si>
  <si>
    <t>Food products nec </t>
  </si>
  <si>
    <t>Beverages </t>
  </si>
  <si>
    <t>Fish products </t>
  </si>
  <si>
    <t>Tobacco products </t>
  </si>
  <si>
    <t>Textiles </t>
  </si>
  <si>
    <t>Wearing apparel; furs </t>
  </si>
  <si>
    <t>Leather and leather products </t>
  </si>
  <si>
    <t>Wood and products of wood and cork (except furniture); articles of straw and plaiting materials </t>
  </si>
  <si>
    <t>Wood material for treatment, Re-processing of secondary wood material into new wood material </t>
  </si>
  <si>
    <t>Pulp </t>
  </si>
  <si>
    <t>Secondary paper for treatment, Re-processing of secondary paper into new pulp </t>
  </si>
  <si>
    <t>Paper and paper products </t>
  </si>
  <si>
    <t>Printed matter and recorded media </t>
  </si>
  <si>
    <t>Nuclear fuel </t>
  </si>
  <si>
    <t>Plastics, basic </t>
  </si>
  <si>
    <t>Secondary plastic for treatment, Re-processing of secondary plastic into new plastic </t>
  </si>
  <si>
    <t>N-fertiliser </t>
  </si>
  <si>
    <t>P- and other fertiliser </t>
  </si>
  <si>
    <t>Chemicals nec </t>
  </si>
  <si>
    <t>Additives-Blending Components </t>
  </si>
  <si>
    <t>Rubber and plastic products </t>
  </si>
  <si>
    <t>Glass and glass products </t>
  </si>
  <si>
    <t>Secondary glass for treatment, Re-processing of secondary glass into new glass </t>
  </si>
  <si>
    <t>Ceramic goods </t>
  </si>
  <si>
    <t>Bricks, tiles and construction products, in baked clay </t>
  </si>
  <si>
    <t>Cement, lime and plaster </t>
  </si>
  <si>
    <t>Ash for treatment, Re-processing of ash into clinker </t>
  </si>
  <si>
    <t>Other non-metallic mineral products </t>
  </si>
  <si>
    <t>Fabricated metal products, except machinery and equipment </t>
  </si>
  <si>
    <t>Machinery and equipment n.e.c. </t>
  </si>
  <si>
    <t>Office machinery and computers </t>
  </si>
  <si>
    <t>Electrical machinery and apparatus n.e.c. </t>
  </si>
  <si>
    <t>Radio, television and communication equipment and apparatus </t>
  </si>
  <si>
    <t>Medical, precision and optical instruments, watches and clocks </t>
  </si>
  <si>
    <t>Motor vehicles, trailers and semi-trailers </t>
  </si>
  <si>
    <t>Other transport equipment </t>
  </si>
  <si>
    <t>Furniture; other manufactured goods n.e.c. </t>
  </si>
  <si>
    <t>Secondary raw materials </t>
  </si>
  <si>
    <t>Bottles for treatment, Recycling of bottles by direct reuse </t>
  </si>
  <si>
    <t>Refinery Gas </t>
  </si>
  <si>
    <t>Liquefied Petroleum Gases (LPG) </t>
  </si>
  <si>
    <t>Coke oven gas </t>
  </si>
  <si>
    <t>Blast Furnace Gas </t>
  </si>
  <si>
    <t>Oxygen Steel Furnace Gas </t>
  </si>
  <si>
    <t>Gas Works Gas </t>
  </si>
  <si>
    <t>Biogas </t>
  </si>
  <si>
    <t>Distribution services of gaseous fuels through mains </t>
  </si>
  <si>
    <t>Charcoal </t>
  </si>
  <si>
    <t>Biogasoline </t>
  </si>
  <si>
    <t>Biodiesels </t>
  </si>
  <si>
    <t>Other Liquid Biofuels </t>
  </si>
  <si>
    <t>Food waste for treatment: biogasification and land application </t>
  </si>
  <si>
    <t>Paper waste for treatment: biogasification and land application </t>
  </si>
  <si>
    <t>Sewage sludge for treatment: biogasification and land application </t>
  </si>
  <si>
    <t>Electricity by coal </t>
  </si>
  <si>
    <t>Electricity by gas </t>
  </si>
  <si>
    <t>Electricity by nuclear </t>
  </si>
  <si>
    <t>Electricity by petroleum and other oil derivatives </t>
  </si>
  <si>
    <t>Electricity nec </t>
  </si>
  <si>
    <t>Electricity by hydro </t>
  </si>
  <si>
    <t>Electricity by wind </t>
  </si>
  <si>
    <t>Electricity by biomass and waste </t>
  </si>
  <si>
    <t>Electricity by solar photovoltaic </t>
  </si>
  <si>
    <t>Electricity by solar thermal </t>
  </si>
  <si>
    <t>Electricity by tide, wave, ocean </t>
  </si>
  <si>
    <t>Electricity by Geothermal </t>
  </si>
  <si>
    <t>Transmission services of electricity </t>
  </si>
  <si>
    <t>Distribution and trade services of electricity </t>
  </si>
  <si>
    <t>Steam and hot water supply services </t>
  </si>
  <si>
    <t>Collected and purified water, distribution services of water </t>
  </si>
  <si>
    <t>Post and telecommunication services </t>
  </si>
  <si>
    <t>Membership organisation services n.e.c. </t>
  </si>
  <si>
    <t>Recreational, cultural and sporting services </t>
  </si>
  <si>
    <t>Other services </t>
  </si>
  <si>
    <t>Private households with employed persons </t>
  </si>
  <si>
    <t>Construction work </t>
  </si>
  <si>
    <t>Secondary construction material for treatment, Re-processing of secondary construction material into aggregates </t>
  </si>
  <si>
    <t>Sale, maintenance, repair of motor vehicles, motor vehicles parts, motorcycles, motor cycles parts and accessoiries </t>
  </si>
  <si>
    <t>Retail trade services of motor fuel </t>
  </si>
  <si>
    <t>Wholesale trade and commission trade services, except of motor vehicles and motorcycles </t>
  </si>
  <si>
    <t>Retail  trade services, except of motor vehicles and motorcycles; repair services of personal and household goods </t>
  </si>
  <si>
    <t>Warehousing and support services for transportation </t>
  </si>
  <si>
    <t>Postal and courier services </t>
  </si>
  <si>
    <t>Accommodation and food services </t>
  </si>
  <si>
    <t>Railway transportation services </t>
  </si>
  <si>
    <t>Other land transportation services </t>
  </si>
  <si>
    <t>Transportation services via pipelines </t>
  </si>
  <si>
    <t>Education services </t>
  </si>
  <si>
    <t>Health and social work services </t>
  </si>
  <si>
    <t>Food waste for treatment: incineration </t>
  </si>
  <si>
    <t>Paper waste for treatment: incineration </t>
  </si>
  <si>
    <t>Plastic waste for treatment: incineration </t>
  </si>
  <si>
    <t>Intert-metal waste for treatment: incineration </t>
  </si>
  <si>
    <t>Textiles waste for treatment: incineration </t>
  </si>
  <si>
    <t>Wood waste for treatment: incineration </t>
  </si>
  <si>
    <t>Oil-hazardous waste for treatment: incineration </t>
  </si>
  <si>
    <t>Food waste for treatment: composting and land application </t>
  </si>
  <si>
    <t>Paper and wood waste for treatment: composting and land application </t>
  </si>
  <si>
    <t>Food waste for treatment: waste water treatment </t>
  </si>
  <si>
    <t>Other waste for treatment: waste water treatment </t>
  </si>
  <si>
    <t>Food waste for treatment: landfill </t>
  </si>
  <si>
    <t>Paper for treatment: landfill </t>
  </si>
  <si>
    <t>Plastic waste for treatment: landfill </t>
  </si>
  <si>
    <t>Inert-metal-hazardous waste for treatment: landfill </t>
  </si>
  <si>
    <t>Textiles waste for treatment: landfill </t>
  </si>
  <si>
    <t>Wood waste for treatment: landfill </t>
  </si>
  <si>
    <t>Anthracite </t>
  </si>
  <si>
    <t>Coking Coal </t>
  </si>
  <si>
    <t>Other Bituminous Coal </t>
  </si>
  <si>
    <t>Sub-Bituminous Coal </t>
  </si>
  <si>
    <t>Patent Fuel </t>
  </si>
  <si>
    <t>Lignite-Brown Coal </t>
  </si>
  <si>
    <t>BKB-Peat Briquettes </t>
  </si>
  <si>
    <t>Peat </t>
  </si>
  <si>
    <t>Coke Oven Coke </t>
  </si>
  <si>
    <t>Gas Coke </t>
  </si>
  <si>
    <t>Coal Tar </t>
  </si>
  <si>
    <t>Petroleum Coke </t>
  </si>
  <si>
    <t>Crude petroleum and services related to crude oil extraction, excluding surveying </t>
  </si>
  <si>
    <t>Refinery Feedstocks </t>
  </si>
  <si>
    <t>Natural gas and services related to natural gas extraction, excluding surveying </t>
  </si>
  <si>
    <t>Natural Gas Liquids </t>
  </si>
  <si>
    <t>Motor Gasoline </t>
  </si>
  <si>
    <t>Ethane </t>
  </si>
  <si>
    <t>Non-specified Petroleum Products </t>
  </si>
  <si>
    <t>Aviation Gasoline </t>
  </si>
  <si>
    <t>Gasoline Type Jet Fuel </t>
  </si>
  <si>
    <t>Kerosene Type Jet Fuel </t>
  </si>
  <si>
    <t>Gas-Diesel Oil </t>
  </si>
  <si>
    <t>Kerosene</t>
  </si>
  <si>
    <t>Other Hydrocarbons </t>
  </si>
  <si>
    <t>Air transport services</t>
  </si>
  <si>
    <t>Inland water transportation services </t>
  </si>
  <si>
    <t>Sea and coastal water transportation services </t>
  </si>
  <si>
    <t>Basic iron and steel and of ferro-alloys and first products thereof </t>
  </si>
  <si>
    <t>Secondary steel for treatment, Re-processing of secondary steel into new steel </t>
  </si>
  <si>
    <t>Precious metals </t>
  </si>
  <si>
    <t>Secondary preciuos metals for treatment, Re-processing of secondary preciuos metals into new preciuos metals </t>
  </si>
  <si>
    <t>Aluminium and aluminium products </t>
  </si>
  <si>
    <t>Secondary aluminium for treatment, Re-processing of secondary aluminium into new aluminium </t>
  </si>
  <si>
    <t>Lead, zinc and tin and products thereof </t>
  </si>
  <si>
    <t>Secondary lead for treatment, Re-processing of secondary lead into new lead </t>
  </si>
  <si>
    <t>Copper products </t>
  </si>
  <si>
    <t>Secondary copper for treatment, Re-processing of secondary copper into new copper </t>
  </si>
  <si>
    <t>Other non-ferrous metal products </t>
  </si>
  <si>
    <t>Secondary other non-ferrous metals for treatment, Re-processing of secondary other non-ferrous metals into new other non-ferrous metals </t>
  </si>
  <si>
    <t>Foundry work services </t>
  </si>
  <si>
    <t>Naphtha </t>
  </si>
  <si>
    <t>White Spirit &amp; SBP </t>
  </si>
  <si>
    <t>Heavy Fuel Oil </t>
  </si>
  <si>
    <t>Lubricants </t>
  </si>
  <si>
    <t>Bitumen </t>
  </si>
  <si>
    <t>Paraffin Waxes </t>
  </si>
  <si>
    <t>COICOP</t>
  </si>
  <si>
    <t>REFERENCE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</si>
  <si>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</si>
  <si>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</si>
  <si>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</si>
  <si>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</si>
  <si>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</si>
  <si>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</si>
  <si>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</si>
  <si>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</si>
  <si>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</si>
  <si>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</si>
  <si>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</si>
  <si>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</si>
  <si>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</si>
  <si>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</si>
  <si>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</si>
  <si>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</si>
  <si>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</si>
  <si>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</si>
  <si>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</si>
  <si>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</si>
  <si>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</si>
  <si>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</si>
  <si>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</si>
  <si>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</si>
  <si>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</si>
  <si>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</si>
  <si>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</si>
  <si>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</si>
  <si>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</si>
  <si>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</si>
  <si>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</si>
  <si>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</si>
  <si>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</si>
  <si>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</si>
  <si>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</si>
  <si>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NACE CODES</t>
  </si>
  <si>
    <t>AAGR</t>
  </si>
  <si>
    <t>COAL</t>
  </si>
  <si>
    <t>COIL</t>
  </si>
  <si>
    <t>IMIN</t>
  </si>
  <si>
    <t>IRES</t>
  </si>
  <si>
    <t>IALA</t>
  </si>
  <si>
    <t>POWF</t>
  </si>
  <si>
    <t>POWR</t>
  </si>
  <si>
    <t>POWT</t>
  </si>
  <si>
    <t>NG</t>
  </si>
  <si>
    <t>LTH</t>
  </si>
  <si>
    <t>COTH</t>
  </si>
  <si>
    <t>CCON</t>
  </si>
  <si>
    <t>CWSR</t>
  </si>
  <si>
    <t>COFF</t>
  </si>
  <si>
    <t>C_TRAI</t>
  </si>
  <si>
    <t>C_TLND</t>
  </si>
  <si>
    <t>C_TPIP</t>
  </si>
  <si>
    <t>C_TWAS</t>
  </si>
  <si>
    <t>C_TWAI</t>
  </si>
  <si>
    <t>C_TAIR</t>
  </si>
  <si>
    <t>CHEA</t>
  </si>
  <si>
    <t>Waste</t>
  </si>
  <si>
    <t>BIO</t>
  </si>
  <si>
    <t>Cultivation of paddy rice </t>
  </si>
  <si>
    <t>Cultivation of wheat </t>
  </si>
  <si>
    <t>Cultivation of cereal grains nec </t>
  </si>
  <si>
    <t>Cultivation of vegetables, fruit, nuts </t>
  </si>
  <si>
    <t>Cultivation of oil seeds </t>
  </si>
  <si>
    <t>Cultivation of sugar cane, sugar beet </t>
  </si>
  <si>
    <t>Cultivation of plant-based fibers </t>
  </si>
  <si>
    <t>Cultivation of crops nec </t>
  </si>
  <si>
    <t>Cattle farming </t>
  </si>
  <si>
    <t>Pigs farming </t>
  </si>
  <si>
    <t>Poultry farming </t>
  </si>
  <si>
    <t>Manure treatment (conventional), storage and land application </t>
  </si>
  <si>
    <t>Manure treatment (biogas), storage and land application </t>
  </si>
  <si>
    <t>Forestry, logging and related service activities </t>
  </si>
  <si>
    <t>Fishing, operating of fish hatcheries and fish farms; service activities incidental to fishing </t>
  </si>
  <si>
    <t>Biogasification of food waste, incl. land application </t>
  </si>
  <si>
    <t>Biogasification of paper, incl. land application </t>
  </si>
  <si>
    <t>Biogasification of sewage slugde, incl. land application </t>
  </si>
  <si>
    <t>Air transport </t>
  </si>
  <si>
    <t>Other land transport </t>
  </si>
  <si>
    <t>Transport via pipelines </t>
  </si>
  <si>
    <t>Transport via railways </t>
  </si>
  <si>
    <t>Inland water transport </t>
  </si>
  <si>
    <t>Sea and coastal water transport </t>
  </si>
  <si>
    <t>Construction </t>
  </si>
  <si>
    <t>Re-processing of secondary construction material into aggregates </t>
  </si>
  <si>
    <t>Education </t>
  </si>
  <si>
    <t>Health and social work </t>
  </si>
  <si>
    <t>Mining of coal and lignite; extraction of peat </t>
  </si>
  <si>
    <t>Hotels and restaurants </t>
  </si>
  <si>
    <t>Supporting and auxiliary transport activities; activities of travel agencies </t>
  </si>
  <si>
    <t>Financial intermediation, except insurance and pension funding </t>
  </si>
  <si>
    <t>Insurance and pension funding, except compulsory social security </t>
  </si>
  <si>
    <t>Activities auxiliary to financial intermediation </t>
  </si>
  <si>
    <t>Real estate activities </t>
  </si>
  <si>
    <t>Renting of machinery and equipment without operator and of personal and household goods </t>
  </si>
  <si>
    <t>Computer and related activities </t>
  </si>
  <si>
    <t>Research and development </t>
  </si>
  <si>
    <t>Other business activities </t>
  </si>
  <si>
    <t>Public administration and defence; compulsory social security </t>
  </si>
  <si>
    <t>Extra-territorial organizations and bodies </t>
  </si>
  <si>
    <t>Extraction of crude petroleum and services related to crude oil extraction, excluding surveying </t>
  </si>
  <si>
    <t>Extraction of natural gas and services related to natural gas extraction, excluding surveying </t>
  </si>
  <si>
    <t>Extraction, liquefaction, and regasification of other petroleum and gaseous materials </t>
  </si>
  <si>
    <t>Petroleum Refinery </t>
  </si>
  <si>
    <t>Collection, purification and distribution of water </t>
  </si>
  <si>
    <t>Post and telecommunications </t>
  </si>
  <si>
    <t>Activities of membership organisation n.e.c. </t>
  </si>
  <si>
    <t>Recreational, cultural and sporting activities </t>
  </si>
  <si>
    <t>Other service activities </t>
  </si>
  <si>
    <t>Aluminium production </t>
  </si>
  <si>
    <t>Re-processing of secondary aluminium into new aluminium </t>
  </si>
  <si>
    <t>Mining of uranium and thorium ores </t>
  </si>
  <si>
    <t>Mining of iron ores </t>
  </si>
  <si>
    <t>Mining of copper ores and concentrates </t>
  </si>
  <si>
    <t>Mining of nickel ores and concentrates </t>
  </si>
  <si>
    <t>Mining of aluminium ores and concentrates </t>
  </si>
  <si>
    <t>Mining of precious metal ores and concentrates </t>
  </si>
  <si>
    <t>Mining of lead, zinc and tin ores and concentrates </t>
  </si>
  <si>
    <t>Mining of other non-ferrous metal ores and concentrates </t>
  </si>
  <si>
    <t>Quarrying of stone </t>
  </si>
  <si>
    <t>Quarrying of sand and clay </t>
  </si>
  <si>
    <t>Mining of chemical and fertilizer minerals, production of salt, other mining and quarrying n.e.c. </t>
  </si>
  <si>
    <t>Manufacture of coke oven products </t>
  </si>
  <si>
    <t>Manufacture of basic iron and steel and of ferro-alloys and first products thereof </t>
  </si>
  <si>
    <t>Re-processing of secondary steel into new steel </t>
  </si>
  <si>
    <t>Precious metals production </t>
  </si>
  <si>
    <t>Re-processing of secondary preciuos metals into new preciuos metals </t>
  </si>
  <si>
    <t>Lead, zinc and tin production </t>
  </si>
  <si>
    <t>Re-processing of secondary lead into new lead </t>
  </si>
  <si>
    <t>Copper production </t>
  </si>
  <si>
    <t>Re-processing of secondary copper into new copper </t>
  </si>
  <si>
    <t>Other non-ferrous metal production </t>
  </si>
  <si>
    <t>Re-processing of secondary other non-ferrous metals into new other non-ferrous metals </t>
  </si>
  <si>
    <t>Casting of metals </t>
  </si>
  <si>
    <t>Processing of meat cattle </t>
  </si>
  <si>
    <t>Processing of meat pigs </t>
  </si>
  <si>
    <t>Processing of meat poultry </t>
  </si>
  <si>
    <t>Production of meat products nec </t>
  </si>
  <si>
    <t>Processing vegetable oils and fats </t>
  </si>
  <si>
    <t>Processing of dairy products </t>
  </si>
  <si>
    <t>Sugar refining </t>
  </si>
  <si>
    <t>Processing of Food products nec </t>
  </si>
  <si>
    <t>Manufacture of beverages </t>
  </si>
  <si>
    <t>Manufacture of fish products </t>
  </si>
  <si>
    <t>Manufacture of tobacco products </t>
  </si>
  <si>
    <t>Manufacture of textiles </t>
  </si>
  <si>
    <t>Manufacture of wearing apparel; dressing and dyeing of fur </t>
  </si>
  <si>
    <t>Tanning and dressing of leather; manufacture of luggage, handbags, saddlery, harness and footwear </t>
  </si>
  <si>
    <t>Manufacture of wood and of products of wood and cork, except furniture; manufacture of articles of straw and plaiting materials </t>
  </si>
  <si>
    <t>Re-processing of secondary wood material into new wood material </t>
  </si>
  <si>
    <t>Re-processing of secondary paper into new pulp </t>
  </si>
  <si>
    <t>Paper </t>
  </si>
  <si>
    <t>Publishing, printing and reproduction of recorded media </t>
  </si>
  <si>
    <t>Processing of nuclear fuel </t>
  </si>
  <si>
    <t>Re-processing of secondary plastic into new plastic </t>
  </si>
  <si>
    <t>Manufacture of rubber and plastic products </t>
  </si>
  <si>
    <t>Manufacture of glass and glass products </t>
  </si>
  <si>
    <t>Re-processing of secondary glass into new glass </t>
  </si>
  <si>
    <t>Manufacture of ceramic goods </t>
  </si>
  <si>
    <t>Manufacture of bricks, tiles and construction products, in baked clay </t>
  </si>
  <si>
    <t>Manufacture of cement, lime and plaster </t>
  </si>
  <si>
    <t>Re-processing of ash into clinker </t>
  </si>
  <si>
    <t>Manufacture of other non-metallic mineral products n.e.c. </t>
  </si>
  <si>
    <t>Manufacture of fabricated metal products, except machinery and equipment </t>
  </si>
  <si>
    <t>Manufacture of machinery and equipment n.e.c. </t>
  </si>
  <si>
    <t>Manufacture of office machinery and computers </t>
  </si>
  <si>
    <t>Manufacture of electrical machinery and apparatus n.e.c. </t>
  </si>
  <si>
    <t>Manufacture of radio, television and communication equipment and apparatus </t>
  </si>
  <si>
    <t>Manufacture of medical, precision and optical instruments, watches and clocks </t>
  </si>
  <si>
    <t>Manufacture of motor vehicles, trailers and semi-trailers </t>
  </si>
  <si>
    <t>Manufacture of other transport equipment </t>
  </si>
  <si>
    <t>Manufacture of furniture; manufacturing n.e.c. </t>
  </si>
  <si>
    <t>Recycling of waste and scrap </t>
  </si>
  <si>
    <t>Recycling of bottles by direct reuse </t>
  </si>
  <si>
    <t>Steam and hot water supply </t>
  </si>
  <si>
    <t>Manufacture of gas; distribution of gaseous fuels through mains </t>
  </si>
  <si>
    <t>Production of electricity by coal </t>
  </si>
  <si>
    <t>Production of electricity by gas </t>
  </si>
  <si>
    <t>Production of electricity by nuclear </t>
  </si>
  <si>
    <t>Production of electricity by petroleum and other oil derivatives </t>
  </si>
  <si>
    <t>Production of electricity nec </t>
  </si>
  <si>
    <t>Production of electricity by hydro </t>
  </si>
  <si>
    <t>Production of electricity by wind </t>
  </si>
  <si>
    <t>Production of electricity by biomass and waste </t>
  </si>
  <si>
    <t>Production of electricity by solar photovoltaic </t>
  </si>
  <si>
    <t>Production of electricity by solar thermal </t>
  </si>
  <si>
    <t>Production of electricity by tide, wave, ocean </t>
  </si>
  <si>
    <t>Production of electricity by Geothermal </t>
  </si>
  <si>
    <t>Transmission of electricity </t>
  </si>
  <si>
    <t>Distribution and trade of electricity </t>
  </si>
  <si>
    <t>Incineration of waste: Food </t>
  </si>
  <si>
    <t>Incineration of waste: Paper </t>
  </si>
  <si>
    <t>Incineration of waste: Plastic </t>
  </si>
  <si>
    <t>Incineration of waste: Metals and Inert materials </t>
  </si>
  <si>
    <t>Incineration of waste: Textiles </t>
  </si>
  <si>
    <t>Incineration of waste: Wood </t>
  </si>
  <si>
    <t>Incineration of waste: Oil-Hazardous waste </t>
  </si>
  <si>
    <t>Composting of food waste, incl. land application </t>
  </si>
  <si>
    <t>Composting of paper and wood, incl. land application </t>
  </si>
  <si>
    <t>Waste water treatment, food </t>
  </si>
  <si>
    <t>Waste water treatment, other </t>
  </si>
  <si>
    <t>Landfill of waste: Food </t>
  </si>
  <si>
    <t>Landfill of waste: Paper </t>
  </si>
  <si>
    <t>Landfill of waste: Plastic </t>
  </si>
  <si>
    <t>Landfill of waste: Inert-metal-hazardous </t>
  </si>
  <si>
    <t>Landfill of waste: Textiles </t>
  </si>
  <si>
    <t>Landfill of waste: Wood </t>
  </si>
  <si>
    <t>SECTORS</t>
  </si>
  <si>
    <t>LATEX -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</si>
</sst>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BB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0" fillId="3" borderId="0" xfId="0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2" borderId="4" xfId="0" applyFill="1" applyBorder="1" applyAlignment="1">
      <alignment wrapText="1"/>
    </xf>
    <xf numFmtId="0" fontId="0" fillId="2" borderId="4" xfId="0" applyFill="1" applyBorder="1"/>
    <xf numFmtId="0" fontId="0" fillId="3" borderId="4" xfId="0" applyFill="1" applyBorder="1"/>
    <xf numFmtId="0" fontId="0" fillId="3" borderId="4" xfId="0" applyFill="1" applyBorder="1" applyAlignment="1">
      <alignment wrapText="1"/>
    </xf>
    <xf numFmtId="0" fontId="0" fillId="4" borderId="4" xfId="0" applyFill="1" applyBorder="1"/>
    <xf numFmtId="0" fontId="1" fillId="0" borderId="0" xfId="0" applyFont="1"/>
    <xf numFmtId="0" fontId="1" fillId="5" borderId="4" xfId="0" applyFont="1" applyFill="1" applyBorder="1" applyAlignment="1"/>
    <xf numFmtId="0" fontId="0" fillId="5" borderId="0" xfId="0" applyFill="1"/>
    <xf numFmtId="0" fontId="0" fillId="5" borderId="4" xfId="0" applyFill="1" applyBorder="1" applyAlignment="1">
      <alignment wrapText="1"/>
    </xf>
    <xf numFmtId="0" fontId="0" fillId="0" borderId="0" xfId="0" applyFill="1"/>
    <xf numFmtId="0" fontId="1" fillId="6" borderId="4" xfId="0" applyFont="1" applyFill="1" applyBorder="1" applyAlignment="1">
      <alignment wrapText="1"/>
    </xf>
    <xf numFmtId="0" fontId="0" fillId="6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BBC"/>
      <color rgb="FFFF6D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opLeftCell="A50" zoomScale="65" workbookViewId="0">
      <selection activeCell="A84" sqref="A50:D84"/>
    </sheetView>
  </sheetViews>
  <sheetFormatPr defaultRowHeight="14.4" x14ac:dyDescent="0.3"/>
  <cols>
    <col min="1" max="1" width="19.77734375" customWidth="1"/>
    <col min="2" max="2" width="21.109375" customWidth="1"/>
    <col min="5" max="5" width="133.77734375" customWidth="1"/>
  </cols>
  <sheetData>
    <row r="1" spans="1:5" x14ac:dyDescent="0.3">
      <c r="A1" t="s">
        <v>57</v>
      </c>
    </row>
    <row r="2" spans="1:5" x14ac:dyDescent="0.3">
      <c r="A2" t="s">
        <v>0</v>
      </c>
      <c r="B2" t="s">
        <v>1</v>
      </c>
    </row>
    <row r="3" spans="1:5" x14ac:dyDescent="0.3">
      <c r="A3" t="s">
        <v>2</v>
      </c>
      <c r="B3" t="s">
        <v>3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7</v>
      </c>
    </row>
    <row r="6" spans="1:5" x14ac:dyDescent="0.3">
      <c r="A6" t="s">
        <v>8</v>
      </c>
      <c r="B6" t="s">
        <v>9</v>
      </c>
    </row>
    <row r="7" spans="1:5" x14ac:dyDescent="0.3">
      <c r="A7" t="s">
        <v>10</v>
      </c>
      <c r="B7" t="s">
        <v>11</v>
      </c>
    </row>
    <row r="8" spans="1:5" x14ac:dyDescent="0.3">
      <c r="A8" t="s">
        <v>12</v>
      </c>
      <c r="B8" t="s">
        <v>13</v>
      </c>
    </row>
    <row r="9" spans="1:5" x14ac:dyDescent="0.3">
      <c r="A9" t="s">
        <v>14</v>
      </c>
      <c r="B9" t="s">
        <v>15</v>
      </c>
    </row>
    <row r="10" spans="1:5" x14ac:dyDescent="0.3">
      <c r="A10" t="s">
        <v>16</v>
      </c>
      <c r="B10" t="s">
        <v>17</v>
      </c>
    </row>
    <row r="11" spans="1:5" x14ac:dyDescent="0.3">
      <c r="A11" t="s">
        <v>18</v>
      </c>
      <c r="B11" t="s">
        <v>19</v>
      </c>
    </row>
    <row r="12" spans="1:5" x14ac:dyDescent="0.3">
      <c r="A12" t="s">
        <v>20</v>
      </c>
      <c r="B12" t="s">
        <v>21</v>
      </c>
    </row>
    <row r="13" spans="1:5" x14ac:dyDescent="0.3">
      <c r="A13" t="s">
        <v>22</v>
      </c>
      <c r="B13" t="s">
        <v>23</v>
      </c>
    </row>
    <row r="14" spans="1:5" x14ac:dyDescent="0.3">
      <c r="A14" s="7" t="s">
        <v>250</v>
      </c>
      <c r="B14" s="8" t="s">
        <v>249</v>
      </c>
      <c r="C14" s="8"/>
      <c r="D14" s="9" t="s">
        <v>56</v>
      </c>
      <c r="E14" s="6"/>
    </row>
    <row r="15" spans="1:5" ht="43.2" x14ac:dyDescent="0.3">
      <c r="A15" s="14" t="str">
        <f>_xlfn.TEXTJOIN(".",TRUE,D15,C15)</f>
        <v>C-AAGR.CP01</v>
      </c>
      <c r="B15" s="10" t="str">
        <f>INDEX($B$2:$B$13,MATCH(C15,$A$2:$A$13,0))</f>
        <v>Food and non-alcoholic beverages</v>
      </c>
      <c r="C15" s="11" t="s">
        <v>0</v>
      </c>
      <c r="D15" s="12" t="s">
        <v>24</v>
      </c>
      <c r="E15" s="13" t="str">
        <f ca="1">_xlfn.TEXTJOIN(", ", TRUE, INDIRECT("Sheet2!" &amp; CHAR(64 + ROW(E15) - 14) &amp; "2:" &amp; CHAR(64 + ROW(E15) - 14) &amp; "50"))</f>
        <v>Paddy rice , Wheat , Cereal grains nec , Vegetables, fruit, nuts , Oil seeds , Sugar cane, sugar beet , Plant-based fibers , Crops nec , Cattle , Pigs , Poultry , Meat animals nec , Animal products nec , Raw milk , Wool, silk-worm cocoons , Manure (conventional treatment) , Manure (biogas treatment) , Products of forestry, logging and related services , Fish and other fishing products; services incidental of fishing </v>
      </c>
    </row>
    <row r="16" spans="1:5" ht="43.2" x14ac:dyDescent="0.3">
      <c r="A16" s="14" t="str">
        <f>_xlfn.TEXTJOIN(".",TRUE,D16,C16)</f>
        <v>C-IMIN.CP04</v>
      </c>
      <c r="B16" s="10" t="str">
        <f t="shared" ref="B16:B46" si="0">INDEX($B$2:$B$13,MATCH(C16,$A$2:$A$13,0))</f>
        <v>Housing, water, electricity, gas and other fuels</v>
      </c>
      <c r="C16" s="11" t="s">
        <v>6</v>
      </c>
      <c r="D16" s="12" t="s">
        <v>25</v>
      </c>
      <c r="E16" s="13" t="str">
        <f t="shared" ref="E16:E17" ca="1" si="1">_xlfn.TEXTJOIN(", ", TRUE, INDIRECT("Sheet2!" &amp; CHAR(64 + ROW(E16) - 14) &amp; "2:" &amp; CHAR(64 + ROW(E16) - 14) &amp; "50"))</f>
        <v>Uranium and thorium ores , Iron ores , Copper ores and concentrates , Nickel ores and concentrates , Aluminium ores and concentrates , Precious metal ores and concentrates , Lead, zinc and tin ores and concentrates , Other non-ferrous metal ores and concentrates , Stone , Sand and clay , Chemical and fertilizer minerals, salt and other mining and quarrying products n.e.c. </v>
      </c>
    </row>
    <row r="17" spans="1:5" ht="158.4" x14ac:dyDescent="0.3">
      <c r="A17" s="14" t="str">
        <f>_xlfn.TEXTJOIN(".",TRUE,D17,C17)</f>
        <v>C-IRES.CP01</v>
      </c>
      <c r="B17" s="10" t="str">
        <f t="shared" si="0"/>
        <v>Food and non-alcoholic beverages</v>
      </c>
      <c r="C17" s="11" t="s">
        <v>0</v>
      </c>
      <c r="D17" s="12" t="s">
        <v>26</v>
      </c>
      <c r="E17" s="13" t="str">
        <f t="shared" ca="1" si="1"/>
        <v>Products of meat cattle , Products of meat pigs , Products of meat poultry , Meat products nec , products of Vegetable oils and fats , Dairy products , Processed rice , Sugar , Food products nec , Beverages , Fish products , Tobacco products , Textiles , Wearing apparel; furs , Leather and leather products , Wood and products of wood and cork (except furniture); articles of straw and plaiting materials , Wood material for treatment, Re-processing of secondary wood material into new wood material , Pulp , Secondary paper for treatment, Re-processing of secondary paper into new pulp , Paper and paper products , Printed matter and recorded media , Nuclear fuel , Plastics, basic , Secondary plastic for treatment, Re-processing of secondary plastic into new plastic , N-fertiliser , P- and other fertiliser , Chemicals nec , Additives-Blending Components , Rubber and plastic products , Glass and glass products , Secondary glass for treatment, Re-processing of secondary glass into new glass , Ceramic goods , Bricks, tiles and construction products, in baked clay , Cement, lime and plaster , Ash for treatment, Re-processing of ash into clinker , Other non-metallic mineral products , Fabricated metal products, except machinery and equipment , Machinery and equipment n.e.c. , Office machinery and computers , Electrical machinery and apparatus n.e.c. , Radio, television and communication equipment and apparatus , Medical, precision and optical instruments, watches and clocks , Motor vehicles, trailers and semi-trailers , Other transport equipment , Furniture; other manufactured goods n.e.c. , Secondary raw materials , Bottles for treatment, Recycling of bottles by direct reuse </v>
      </c>
    </row>
    <row r="18" spans="1:5" ht="43.2" x14ac:dyDescent="0.3">
      <c r="A18" s="14" t="str">
        <f>_xlfn.TEXTJOIN(".",TRUE,D18,C18)</f>
        <v>C-NG.CP04</v>
      </c>
      <c r="B18" s="10" t="str">
        <f t="shared" si="0"/>
        <v>Housing, water, electricity, gas and other fuels</v>
      </c>
      <c r="C18" s="11" t="s">
        <v>6</v>
      </c>
      <c r="D18" s="12" t="s">
        <v>27</v>
      </c>
      <c r="E18" s="13" t="str">
        <f ca="1">_xlfn.TEXTJOIN(", ", TRUE, INDIRECT("Sheet2!" &amp; CHAR(64 + ROW(E18) - 14) &amp; "2:" &amp; CHAR(64 + ROW(E18) - 14) &amp; "50"))</f>
        <v>Refinery Gas , Liquefied Petroleum Gases (LPG) , Coke oven gas , Blast Furnace Gas , Oxygen Steel Furnace Gas , Gas Works Gas , Biogas , Distribution services of gaseous fuels through mains </v>
      </c>
    </row>
    <row r="19" spans="1:5" ht="43.2" x14ac:dyDescent="0.3">
      <c r="A19" s="14" t="str">
        <f>_xlfn.TEXTJOIN(".",TRUE,D19,C19)</f>
        <v>C-BIO.CP04</v>
      </c>
      <c r="B19" s="10" t="str">
        <f t="shared" si="0"/>
        <v>Housing, water, electricity, gas and other fuels</v>
      </c>
      <c r="C19" s="11" t="s">
        <v>6</v>
      </c>
      <c r="D19" s="12" t="s">
        <v>28</v>
      </c>
      <c r="E19" s="13" t="str">
        <f t="shared" ref="E19:E40" ca="1" si="2">_xlfn.TEXTJOIN(", ", TRUE, INDIRECT("Sheet2!" &amp; CHAR(64 + ROW(E19) - 14) &amp; "2:" &amp; CHAR(64 + ROW(E19) - 14) &amp; "50"))</f>
        <v>Charcoal , Biogasoline , Biodiesels , Other Liquid Biofuels , Food waste for treatment: biogasification and land application , Paper waste for treatment: biogasification and land application , Sewage sludge for treatment: biogasification and land application </v>
      </c>
    </row>
    <row r="20" spans="1:5" ht="43.2" x14ac:dyDescent="0.3">
      <c r="A20" s="14" t="str">
        <f>_xlfn.TEXTJOIN(".",TRUE,D20,C20)</f>
        <v>C-POWF.CP04</v>
      </c>
      <c r="B20" s="10" t="str">
        <f t="shared" si="0"/>
        <v>Housing, water, electricity, gas and other fuels</v>
      </c>
      <c r="C20" s="11" t="s">
        <v>6</v>
      </c>
      <c r="D20" s="12" t="s">
        <v>29</v>
      </c>
      <c r="E20" s="13" t="str">
        <f t="shared" ca="1" si="2"/>
        <v>Electricity by coal , Electricity by gas , Electricity by nuclear , Electricity by petroleum and other oil derivatives , Electricity nec </v>
      </c>
    </row>
    <row r="21" spans="1:5" ht="43.2" x14ac:dyDescent="0.3">
      <c r="A21" s="14" t="str">
        <f>_xlfn.TEXTJOIN(".",TRUE,D21,C21)</f>
        <v>C-POWR.CP04</v>
      </c>
      <c r="B21" s="10" t="str">
        <f t="shared" si="0"/>
        <v>Housing, water, electricity, gas and other fuels</v>
      </c>
      <c r="C21" s="11" t="s">
        <v>6</v>
      </c>
      <c r="D21" s="12" t="s">
        <v>30</v>
      </c>
      <c r="E21" s="13" t="str">
        <f t="shared" ca="1" si="2"/>
        <v>Electricity by hydro , Electricity by wind , Electricity by biomass and waste , Electricity by solar photovoltaic , Electricity by solar thermal , Electricity by tide, wave, ocean , Electricity by Geothermal </v>
      </c>
    </row>
    <row r="22" spans="1:5" ht="43.2" x14ac:dyDescent="0.3">
      <c r="A22" s="14" t="str">
        <f>_xlfn.TEXTJOIN(".",TRUE,D22,C22)</f>
        <v>C-POWT.CP04</v>
      </c>
      <c r="B22" s="10" t="str">
        <f t="shared" si="0"/>
        <v>Housing, water, electricity, gas and other fuels</v>
      </c>
      <c r="C22" s="11" t="s">
        <v>6</v>
      </c>
      <c r="D22" s="12" t="s">
        <v>31</v>
      </c>
      <c r="E22" s="13" t="str">
        <f t="shared" ca="1" si="2"/>
        <v>Transmission services of electricity , Distribution and trade services of electricity </v>
      </c>
    </row>
    <row r="23" spans="1:5" ht="43.2" x14ac:dyDescent="0.3">
      <c r="A23" s="14" t="str">
        <f>_xlfn.TEXTJOIN(".",TRUE,D23,C23)</f>
        <v>C-LTH.CP04</v>
      </c>
      <c r="B23" s="10" t="str">
        <f t="shared" si="0"/>
        <v>Housing, water, electricity, gas and other fuels</v>
      </c>
      <c r="C23" s="11" t="s">
        <v>6</v>
      </c>
      <c r="D23" s="12" t="s">
        <v>32</v>
      </c>
      <c r="E23" s="13" t="str">
        <f t="shared" ca="1" si="2"/>
        <v>Steam and hot water supply services </v>
      </c>
    </row>
    <row r="24" spans="1:5" ht="43.2" x14ac:dyDescent="0.3">
      <c r="A24" s="14" t="str">
        <f>_xlfn.TEXTJOIN(".",TRUE,D24,C24)</f>
        <v>C-COTH.CP05</v>
      </c>
      <c r="B24" s="10" t="str">
        <f t="shared" si="0"/>
        <v>Furnishings, household equipment and routine household maintenance</v>
      </c>
      <c r="C24" s="11" t="s">
        <v>8</v>
      </c>
      <c r="D24" s="12" t="s">
        <v>33</v>
      </c>
      <c r="E24" s="13" t="str">
        <f t="shared" ca="1" si="2"/>
        <v>Collected and purified water, distribution services of water , Post and telecommunication services , Membership organisation services n.e.c. , Recreational, cultural and sporting services , Other services , Private households with employed persons </v>
      </c>
    </row>
    <row r="25" spans="1:5" ht="43.2" x14ac:dyDescent="0.3">
      <c r="A25" s="14" t="str">
        <f>_xlfn.TEXTJOIN(".",TRUE,D25,C25)</f>
        <v>C-CCON.CP04</v>
      </c>
      <c r="B25" s="10" t="str">
        <f t="shared" si="0"/>
        <v>Housing, water, electricity, gas and other fuels</v>
      </c>
      <c r="C25" s="11" t="s">
        <v>6</v>
      </c>
      <c r="D25" s="12" t="s">
        <v>34</v>
      </c>
      <c r="E25" s="13" t="str">
        <f t="shared" ca="1" si="2"/>
        <v>Construction work , Secondary construction material for treatment, Re-processing of secondary construction material into aggregates </v>
      </c>
    </row>
    <row r="26" spans="1:5" ht="43.2" x14ac:dyDescent="0.3">
      <c r="A26" s="14" t="str">
        <f>_xlfn.TEXTJOIN(".",TRUE,D26,C26)</f>
        <v>C-CWSR.CP07</v>
      </c>
      <c r="B26" s="10" t="str">
        <f t="shared" si="0"/>
        <v>Transport</v>
      </c>
      <c r="C26" s="11" t="s">
        <v>12</v>
      </c>
      <c r="D26" s="12" t="s">
        <v>35</v>
      </c>
      <c r="E26" s="13" t="str">
        <f t="shared" ca="1" si="2"/>
        <v>Sale, maintenance, repair of motor vehicles, motor vehicles parts, motorcycles, motor cycles parts and accessoiries , Retail trade services of motor fuel , Wholesale trade and commission trade services, except of motor vehicles and motorcycles , Retail  trade services, except of motor vehicles and motorcycles; repair services of personal and household goods </v>
      </c>
    </row>
    <row r="27" spans="1:5" x14ac:dyDescent="0.3">
      <c r="A27" s="14" t="str">
        <f>_xlfn.TEXTJOIN(".",TRUE,D27,C27)</f>
        <v>C-COFF.CP11</v>
      </c>
      <c r="B27" s="10" t="str">
        <f t="shared" si="0"/>
        <v>Restaurants and hotels</v>
      </c>
      <c r="C27" s="11" t="s">
        <v>20</v>
      </c>
      <c r="D27" s="12" t="s">
        <v>36</v>
      </c>
      <c r="E27" s="13" t="str">
        <f t="shared" ca="1" si="2"/>
        <v>Warehousing and support services for transportation , Postal and courier services , Accommodation and food services </v>
      </c>
    </row>
    <row r="28" spans="1:5" x14ac:dyDescent="0.3">
      <c r="A28" s="14" t="str">
        <f>_xlfn.TEXTJOIN(".",TRUE,D28,C28)</f>
        <v>C-C_TRAI.CP07</v>
      </c>
      <c r="B28" s="10" t="str">
        <f t="shared" si="0"/>
        <v>Transport</v>
      </c>
      <c r="C28" s="11" t="s">
        <v>12</v>
      </c>
      <c r="D28" s="12" t="s">
        <v>37</v>
      </c>
      <c r="E28" s="13" t="str">
        <f t="shared" ca="1" si="2"/>
        <v>Railway transportation services </v>
      </c>
    </row>
    <row r="29" spans="1:5" x14ac:dyDescent="0.3">
      <c r="A29" s="14" t="str">
        <f>_xlfn.TEXTJOIN(".",TRUE,D29,C29)</f>
        <v>C-C_TLND.CP07</v>
      </c>
      <c r="B29" s="10" t="str">
        <f t="shared" si="0"/>
        <v>Transport</v>
      </c>
      <c r="C29" s="11" t="s">
        <v>12</v>
      </c>
      <c r="D29" s="12" t="s">
        <v>38</v>
      </c>
      <c r="E29" s="13" t="str">
        <f t="shared" ca="1" si="2"/>
        <v>Other land transportation services </v>
      </c>
    </row>
    <row r="30" spans="1:5" x14ac:dyDescent="0.3">
      <c r="A30" s="14" t="str">
        <f>_xlfn.TEXTJOIN(".",TRUE,D30,C30)</f>
        <v>C-C_TPIP.CP07</v>
      </c>
      <c r="B30" s="10" t="str">
        <f t="shared" si="0"/>
        <v>Transport</v>
      </c>
      <c r="C30" s="11" t="s">
        <v>12</v>
      </c>
      <c r="D30" s="12" t="s">
        <v>39</v>
      </c>
      <c r="E30" s="13" t="str">
        <f t="shared" ca="1" si="2"/>
        <v>Transportation services via pipelines </v>
      </c>
    </row>
    <row r="31" spans="1:5" x14ac:dyDescent="0.3">
      <c r="A31" s="14" t="str">
        <f>_xlfn.TEXTJOIN(".",TRUE,D31,C31)</f>
        <v>C-CHEA.CP06</v>
      </c>
      <c r="B31" s="10" t="str">
        <f t="shared" si="0"/>
        <v>Health</v>
      </c>
      <c r="C31" s="11" t="s">
        <v>10</v>
      </c>
      <c r="D31" s="12" t="s">
        <v>40</v>
      </c>
      <c r="E31" s="13" t="str">
        <f t="shared" ca="1" si="2"/>
        <v>Education services , Health and social work services </v>
      </c>
    </row>
    <row r="32" spans="1:5" ht="72" x14ac:dyDescent="0.3">
      <c r="A32" s="14" t="str">
        <f>_xlfn.TEXTJOIN(".",TRUE,D32,C32)</f>
        <v>C-Waste.CP04</v>
      </c>
      <c r="B32" s="10" t="str">
        <f t="shared" si="0"/>
        <v>Housing, water, electricity, gas and other fuels</v>
      </c>
      <c r="C32" s="11" t="s">
        <v>6</v>
      </c>
      <c r="D32" s="12" t="s">
        <v>41</v>
      </c>
      <c r="E32" s="13" t="str">
        <f t="shared" ca="1" si="2"/>
        <v>Food waste for treatment: incineration , Paper waste for treatment: incineration , Plastic waste for treatment: incineration , Intert-metal waste for treatment: incineration , Textiles waste for treatment: incineration , Wood waste for treatment: incineration , Oil-hazardous waste for treatment: incineration , Food waste for treatment: composting and land application , Paper and wood waste for treatment: composting and land application , Food waste for treatment: waste water treatment , Other waste for treatment: waste water treatment , Food waste for treatment: landfill , Paper for treatment: landfill , Plastic waste for treatment: landfill , Inert-metal-hazardous waste for treatment: landfill , Textiles waste for treatment: landfill , Wood waste for treatment: landfill </v>
      </c>
    </row>
    <row r="33" spans="1:5" ht="43.2" x14ac:dyDescent="0.3">
      <c r="A33" s="14" t="str">
        <f>_xlfn.TEXTJOIN(".",TRUE,D33,C33)</f>
        <v>C-COAL.CP04</v>
      </c>
      <c r="B33" s="10" t="str">
        <f t="shared" si="0"/>
        <v>Housing, water, electricity, gas and other fuels</v>
      </c>
      <c r="C33" s="11" t="s">
        <v>6</v>
      </c>
      <c r="D33" s="12" t="s">
        <v>42</v>
      </c>
      <c r="E33" s="13" t="str">
        <f t="shared" ca="1" si="2"/>
        <v>Anthracite , Coking Coal , Other Bituminous Coal , Sub-Bituminous Coal , Patent Fuel , Lignite-Brown Coal , BKB-Peat Briquettes , Peat , Coke Oven Coke , Gas Coke , Coal Tar , Petroleum Coke </v>
      </c>
    </row>
    <row r="34" spans="1:5" ht="43.2" x14ac:dyDescent="0.3">
      <c r="A34" s="14" t="str">
        <f>_xlfn.TEXTJOIN(".",TRUE,D34,C34)</f>
        <v>C-CRUDE-OIL.CP04</v>
      </c>
      <c r="B34" s="10" t="str">
        <f t="shared" si="0"/>
        <v>Housing, water, electricity, gas and other fuels</v>
      </c>
      <c r="C34" s="11" t="s">
        <v>6</v>
      </c>
      <c r="D34" s="12" t="s">
        <v>43</v>
      </c>
      <c r="E34" s="13" t="str">
        <f t="shared" ca="1" si="2"/>
        <v>Crude petroleum and services related to crude oil extraction, excluding surveying , Refinery Feedstocks </v>
      </c>
    </row>
    <row r="35" spans="1:5" ht="43.2" x14ac:dyDescent="0.3">
      <c r="A35" s="14" t="str">
        <f>_xlfn.TEXTJOIN(".",TRUE,D35,C35)</f>
        <v>C-GASE.CP04</v>
      </c>
      <c r="B35" s="10" t="str">
        <f t="shared" si="0"/>
        <v>Housing, water, electricity, gas and other fuels</v>
      </c>
      <c r="C35" s="11" t="s">
        <v>6</v>
      </c>
      <c r="D35" s="12" t="s">
        <v>44</v>
      </c>
      <c r="E35" s="13" t="str">
        <f t="shared" ca="1" si="2"/>
        <v>Natural gas and services related to natural gas extraction, excluding surveying , Natural Gas Liquids </v>
      </c>
    </row>
    <row r="36" spans="1:5" ht="43.2" x14ac:dyDescent="0.3">
      <c r="A36" s="14" t="str">
        <f>_xlfn.TEXTJOIN(".",TRUE,D36,C36)</f>
        <v>C-OIL-GSL.CP04</v>
      </c>
      <c r="B36" s="10" t="str">
        <f t="shared" si="0"/>
        <v>Housing, water, electricity, gas and other fuels</v>
      </c>
      <c r="C36" s="11" t="s">
        <v>6</v>
      </c>
      <c r="D36" s="12" t="s">
        <v>45</v>
      </c>
      <c r="E36" s="13" t="str">
        <f t="shared" ca="1" si="2"/>
        <v>Motor Gasoline , Ethane , Non-specified Petroleum Products </v>
      </c>
    </row>
    <row r="37" spans="1:5" ht="43.2" x14ac:dyDescent="0.3">
      <c r="A37" s="14" t="str">
        <f>_xlfn.TEXTJOIN(".",TRUE,D37,C37)</f>
        <v>C-OIL-JET.CP04</v>
      </c>
      <c r="B37" s="10" t="str">
        <f t="shared" si="0"/>
        <v>Housing, water, electricity, gas and other fuels</v>
      </c>
      <c r="C37" s="11" t="s">
        <v>6</v>
      </c>
      <c r="D37" s="12" t="s">
        <v>46</v>
      </c>
      <c r="E37" s="13" t="str">
        <f t="shared" ca="1" si="2"/>
        <v>Aviation Gasoline , Gasoline Type Jet Fuel , Kerosene Type Jet Fuel </v>
      </c>
    </row>
    <row r="38" spans="1:5" ht="43.2" x14ac:dyDescent="0.3">
      <c r="A38" s="14" t="str">
        <f>_xlfn.TEXTJOIN(".",TRUE,D38,C38)</f>
        <v>C-OIL-KER.CP04</v>
      </c>
      <c r="B38" s="10" t="str">
        <f t="shared" si="0"/>
        <v>Housing, water, electricity, gas and other fuels</v>
      </c>
      <c r="C38" s="11" t="s">
        <v>6</v>
      </c>
      <c r="D38" s="12" t="s">
        <v>47</v>
      </c>
      <c r="E38" s="13" t="str">
        <f t="shared" ca="1" si="2"/>
        <v>Kerosene</v>
      </c>
    </row>
    <row r="39" spans="1:5" ht="43.2" x14ac:dyDescent="0.3">
      <c r="A39" s="14" t="str">
        <f>_xlfn.TEXTJOIN(".",TRUE,D39,C39)</f>
        <v>C-OIL-DSL.CP04</v>
      </c>
      <c r="B39" s="10" t="str">
        <f t="shared" si="0"/>
        <v>Housing, water, electricity, gas and other fuels</v>
      </c>
      <c r="C39" s="11" t="s">
        <v>6</v>
      </c>
      <c r="D39" s="12" t="s">
        <v>48</v>
      </c>
      <c r="E39" s="13" t="str">
        <f t="shared" ca="1" si="2"/>
        <v>Gas-Diesel Oil </v>
      </c>
    </row>
    <row r="40" spans="1:5" ht="43.2" x14ac:dyDescent="0.3">
      <c r="A40" s="14" t="str">
        <f>_xlfn.TEXTJOIN(".",TRUE,D40,C40)</f>
        <v>C-OIL-HDI.CP04</v>
      </c>
      <c r="B40" s="10" t="str">
        <f t="shared" si="0"/>
        <v>Housing, water, electricity, gas and other fuels</v>
      </c>
      <c r="C40" s="11" t="s">
        <v>6</v>
      </c>
      <c r="D40" s="12" t="s">
        <v>49</v>
      </c>
      <c r="E40" s="13" t="str">
        <f t="shared" ca="1" si="2"/>
        <v>Heavy Fuel Oil , Lubricants , Bitumen , Paraffin Waxes </v>
      </c>
    </row>
    <row r="41" spans="1:5" ht="43.2" x14ac:dyDescent="0.3">
      <c r="A41" s="14" t="str">
        <f>_xlfn.TEXTJOIN(".",TRUE,D41,C41)</f>
        <v>C-OIL-LDSF.CP04</v>
      </c>
      <c r="B41" s="10" t="str">
        <f t="shared" si="0"/>
        <v>Housing, water, electricity, gas and other fuels</v>
      </c>
      <c r="C41" s="11" t="s">
        <v>6</v>
      </c>
      <c r="D41" s="12" t="s">
        <v>50</v>
      </c>
      <c r="E41" s="13" t="str">
        <f>_xlfn.TEXTJOIN(", ", TRUE,Sheet2!AA2:AA3)</f>
        <v>Naphtha , White Spirit &amp; SBP </v>
      </c>
    </row>
    <row r="42" spans="1:5" ht="86.4" x14ac:dyDescent="0.3">
      <c r="A42" s="14" t="str">
        <f>_xlfn.TEXTJOIN(".",TRUE,D42,C42)</f>
        <v>C-IMEA.CP04</v>
      </c>
      <c r="B42" s="10" t="str">
        <f t="shared" si="0"/>
        <v>Housing, water, electricity, gas and other fuels</v>
      </c>
      <c r="C42" s="11" t="s">
        <v>6</v>
      </c>
      <c r="D42" s="12" t="s">
        <v>51</v>
      </c>
      <c r="E42" s="13" t="str">
        <f>_xlfn.TEXTJOIN(", ", TRUE,Sheet2!AB2:AB20)</f>
        <v>Basic iron and steel and of ferro-alloys and first products thereof , Secondary steel for treatment, Re-processing of secondary steel into new steel , Precious metals , Secondary preciuos metals for treatment, Re-processing of secondary preciuos metals into new preciuos metals , Aluminium and aluminium products , Secondary aluminium for treatment, Re-processing of secondary aluminium into new aluminium , Lead, zinc and tin and products thereof , Secondary lead for treatment, Re-processing of secondary lead into new lead , Copper products , Secondary copper for treatment, Re-processing of secondary copper into new copper , Other non-ferrous metal products , Secondary other non-ferrous metals for treatment, Re-processing of secondary other non-ferrous metals into new other non-ferrous metals , Foundry work services </v>
      </c>
    </row>
    <row r="43" spans="1:5" x14ac:dyDescent="0.3">
      <c r="A43" s="14" t="str">
        <f>_xlfn.TEXTJOIN(".",TRUE,D43,C43)</f>
        <v>C-C_TWAS.CP07</v>
      </c>
      <c r="B43" s="10" t="str">
        <f t="shared" si="0"/>
        <v>Transport</v>
      </c>
      <c r="C43" s="11" t="s">
        <v>12</v>
      </c>
      <c r="D43" s="12" t="s">
        <v>52</v>
      </c>
      <c r="E43" s="13" t="str">
        <f>_xlfn.TEXTJOIN(", ", TRUE,Sheet2!AC2:AC20)</f>
        <v>Sea and coastal water transportation services </v>
      </c>
    </row>
    <row r="44" spans="1:5" x14ac:dyDescent="0.3">
      <c r="A44" s="14" t="str">
        <f>_xlfn.TEXTJOIN(".",TRUE,D44,C44)</f>
        <v>C-C_TWAI.CP07</v>
      </c>
      <c r="B44" s="10" t="str">
        <f t="shared" si="0"/>
        <v>Transport</v>
      </c>
      <c r="C44" s="11" t="s">
        <v>12</v>
      </c>
      <c r="D44" s="12" t="s">
        <v>53</v>
      </c>
      <c r="E44" s="13" t="str">
        <f>_xlfn.TEXTJOIN(", ", TRUE,Sheet2!AD2:AD20)</f>
        <v>Inland water transportation services </v>
      </c>
    </row>
    <row r="45" spans="1:5" x14ac:dyDescent="0.3">
      <c r="A45" s="14" t="str">
        <f>_xlfn.TEXTJOIN(".",TRUE,D45,C45)</f>
        <v>C-C_TAIR.CP07</v>
      </c>
      <c r="B45" s="10" t="str">
        <f t="shared" si="0"/>
        <v>Transport</v>
      </c>
      <c r="C45" s="11" t="s">
        <v>12</v>
      </c>
      <c r="D45" s="12" t="s">
        <v>54</v>
      </c>
      <c r="E45" s="13" t="str">
        <f>_xlfn.TEXTJOIN(", ", TRUE,Sheet2!AE2:AE20)</f>
        <v>Air transport services</v>
      </c>
    </row>
    <row r="46" spans="1:5" ht="43.2" x14ac:dyDescent="0.3">
      <c r="A46" s="14" t="str">
        <f>_xlfn.TEXTJOIN(".",TRUE,D46,C46)</f>
        <v>C-COIL.CP04</v>
      </c>
      <c r="B46" s="10" t="str">
        <f t="shared" si="0"/>
        <v>Housing, water, electricity, gas and other fuels</v>
      </c>
      <c r="C46" s="11" t="s">
        <v>6</v>
      </c>
      <c r="D46" s="12" t="s">
        <v>55</v>
      </c>
      <c r="E46" s="13" t="str">
        <f>_xlfn.TEXTJOIN(", ", TRUE,Sheet2!AF2:AF20)</f>
        <v>Other Hydrocarbons </v>
      </c>
    </row>
    <row r="48" spans="1:5" x14ac:dyDescent="0.3">
      <c r="A48" t="str">
        <f>_xlfn.TEXTJOIN(", ",TRUE,A15:A46)</f>
        <v>C-AAGR.CP01, C-IMIN.CP04, C-IRES.CP01, C-NG.CP04, C-BIO.CP04, C-POWF.CP04, C-POWR.CP04, C-POWT.CP04, C-LTH.CP04, C-COTH.CP05, C-CCON.CP04, C-CWSR.CP07, C-COFF.CP11, C-C_TRAI.CP07, C-C_TLND.CP07, C-C_TPIP.CP07, C-CHEA.CP06, C-Waste.CP04, C-COAL.CP04, C-CRUDE-OIL.CP04, C-GASE.CP04, C-OIL-GSL.CP04, C-OIL-JET.CP04, C-OIL-KER.CP04, C-OIL-DSL.CP04, C-OIL-HDI.CP04, C-OIL-LDSF.CP04, C-IMEA.CP04, C-C_TWAS.CP07, C-C_TWAI.CP07, C-C_TAIR.CP07, C-COIL.CP04</v>
      </c>
    </row>
    <row r="50" spans="1:4" x14ac:dyDescent="0.3">
      <c r="A50" t="s">
        <v>460</v>
      </c>
    </row>
    <row r="51" spans="1:4" x14ac:dyDescent="0.3">
      <c r="A51" s="11" t="s">
        <v>0</v>
      </c>
      <c r="B51" s="12" t="s">
        <v>24</v>
      </c>
      <c r="D51" t="str">
        <f>_xlfn.TEXTJOIN(" &amp; ",TRUE,B51,A51)</f>
        <v>C-AAGR &amp; CP01</v>
      </c>
    </row>
    <row r="52" spans="1:4" x14ac:dyDescent="0.3">
      <c r="A52" s="11" t="s">
        <v>0</v>
      </c>
      <c r="B52" s="12" t="s">
        <v>26</v>
      </c>
      <c r="D52" t="str">
        <f t="shared" ref="D52:D82" si="3">_xlfn.TEXTJOIN(" &amp; ",TRUE,B52,A52)</f>
        <v>C-IRES &amp; CP01</v>
      </c>
    </row>
    <row r="53" spans="1:4" x14ac:dyDescent="0.3">
      <c r="A53" s="11" t="s">
        <v>6</v>
      </c>
      <c r="B53" s="12" t="s">
        <v>25</v>
      </c>
      <c r="D53" t="str">
        <f t="shared" si="3"/>
        <v>C-IMIN &amp; CP04</v>
      </c>
    </row>
    <row r="54" spans="1:4" x14ac:dyDescent="0.3">
      <c r="A54" s="11" t="s">
        <v>6</v>
      </c>
      <c r="B54" s="12" t="s">
        <v>27</v>
      </c>
      <c r="D54" t="str">
        <f t="shared" si="3"/>
        <v>C-NG &amp; CP04</v>
      </c>
    </row>
    <row r="55" spans="1:4" x14ac:dyDescent="0.3">
      <c r="A55" s="11" t="s">
        <v>6</v>
      </c>
      <c r="B55" s="12" t="s">
        <v>28</v>
      </c>
      <c r="D55" t="str">
        <f t="shared" si="3"/>
        <v>C-BIO &amp; CP04</v>
      </c>
    </row>
    <row r="56" spans="1:4" x14ac:dyDescent="0.3">
      <c r="A56" s="11" t="s">
        <v>6</v>
      </c>
      <c r="B56" s="12" t="s">
        <v>29</v>
      </c>
      <c r="D56" t="str">
        <f t="shared" si="3"/>
        <v>C-POWF &amp; CP04</v>
      </c>
    </row>
    <row r="57" spans="1:4" x14ac:dyDescent="0.3">
      <c r="A57" s="11" t="s">
        <v>6</v>
      </c>
      <c r="B57" s="12" t="s">
        <v>30</v>
      </c>
      <c r="D57" t="str">
        <f t="shared" si="3"/>
        <v>C-POWR &amp; CP04</v>
      </c>
    </row>
    <row r="58" spans="1:4" x14ac:dyDescent="0.3">
      <c r="A58" s="11" t="s">
        <v>6</v>
      </c>
      <c r="B58" s="12" t="s">
        <v>31</v>
      </c>
      <c r="D58" t="str">
        <f t="shared" si="3"/>
        <v>C-POWT &amp; CP04</v>
      </c>
    </row>
    <row r="59" spans="1:4" x14ac:dyDescent="0.3">
      <c r="A59" s="11" t="s">
        <v>6</v>
      </c>
      <c r="B59" s="12" t="s">
        <v>32</v>
      </c>
      <c r="D59" t="str">
        <f t="shared" si="3"/>
        <v>C-LTH &amp; CP04</v>
      </c>
    </row>
    <row r="60" spans="1:4" x14ac:dyDescent="0.3">
      <c r="A60" s="11" t="s">
        <v>6</v>
      </c>
      <c r="B60" s="12" t="s">
        <v>34</v>
      </c>
      <c r="D60" t="str">
        <f t="shared" si="3"/>
        <v>C-CCON &amp; CP04</v>
      </c>
    </row>
    <row r="61" spans="1:4" x14ac:dyDescent="0.3">
      <c r="A61" s="11" t="s">
        <v>6</v>
      </c>
      <c r="B61" s="12" t="s">
        <v>41</v>
      </c>
      <c r="D61" t="str">
        <f t="shared" si="3"/>
        <v>C-Waste &amp; CP04</v>
      </c>
    </row>
    <row r="62" spans="1:4" x14ac:dyDescent="0.3">
      <c r="A62" s="11" t="s">
        <v>6</v>
      </c>
      <c r="B62" s="12" t="s">
        <v>42</v>
      </c>
      <c r="D62" t="str">
        <f t="shared" si="3"/>
        <v>C-COAL &amp; CP04</v>
      </c>
    </row>
    <row r="63" spans="1:4" x14ac:dyDescent="0.3">
      <c r="A63" s="11" t="s">
        <v>6</v>
      </c>
      <c r="B63" s="12" t="s">
        <v>43</v>
      </c>
      <c r="D63" t="str">
        <f t="shared" si="3"/>
        <v>C-CRUDE-OIL &amp; CP04</v>
      </c>
    </row>
    <row r="64" spans="1:4" x14ac:dyDescent="0.3">
      <c r="A64" s="11" t="s">
        <v>6</v>
      </c>
      <c r="B64" s="12" t="s">
        <v>44</v>
      </c>
      <c r="D64" t="str">
        <f t="shared" si="3"/>
        <v>C-GASE &amp; CP04</v>
      </c>
    </row>
    <row r="65" spans="1:4" x14ac:dyDescent="0.3">
      <c r="A65" s="11" t="s">
        <v>6</v>
      </c>
      <c r="B65" s="12" t="s">
        <v>45</v>
      </c>
      <c r="D65" t="str">
        <f t="shared" si="3"/>
        <v>C-OIL-GSL &amp; CP04</v>
      </c>
    </row>
    <row r="66" spans="1:4" x14ac:dyDescent="0.3">
      <c r="A66" s="11" t="s">
        <v>6</v>
      </c>
      <c r="B66" s="12" t="s">
        <v>46</v>
      </c>
      <c r="D66" t="str">
        <f t="shared" si="3"/>
        <v>C-OIL-JET &amp; CP04</v>
      </c>
    </row>
    <row r="67" spans="1:4" x14ac:dyDescent="0.3">
      <c r="A67" s="11" t="s">
        <v>6</v>
      </c>
      <c r="B67" s="12" t="s">
        <v>47</v>
      </c>
      <c r="D67" t="str">
        <f t="shared" si="3"/>
        <v>C-OIL-KER &amp; CP04</v>
      </c>
    </row>
    <row r="68" spans="1:4" x14ac:dyDescent="0.3">
      <c r="A68" s="11" t="s">
        <v>6</v>
      </c>
      <c r="B68" s="12" t="s">
        <v>48</v>
      </c>
      <c r="D68" t="str">
        <f t="shared" si="3"/>
        <v>C-OIL-DSL &amp; CP04</v>
      </c>
    </row>
    <row r="69" spans="1:4" x14ac:dyDescent="0.3">
      <c r="A69" s="11" t="s">
        <v>6</v>
      </c>
      <c r="B69" s="12" t="s">
        <v>49</v>
      </c>
      <c r="D69" t="str">
        <f t="shared" si="3"/>
        <v>C-OIL-HDI &amp; CP04</v>
      </c>
    </row>
    <row r="70" spans="1:4" x14ac:dyDescent="0.3">
      <c r="A70" s="11" t="s">
        <v>6</v>
      </c>
      <c r="B70" s="12" t="s">
        <v>50</v>
      </c>
      <c r="D70" t="str">
        <f t="shared" si="3"/>
        <v>C-OIL-LDSF &amp; CP04</v>
      </c>
    </row>
    <row r="71" spans="1:4" x14ac:dyDescent="0.3">
      <c r="A71" s="11" t="s">
        <v>6</v>
      </c>
      <c r="B71" s="12" t="s">
        <v>51</v>
      </c>
      <c r="D71" t="str">
        <f t="shared" si="3"/>
        <v>C-IMEA &amp; CP04</v>
      </c>
    </row>
    <row r="72" spans="1:4" x14ac:dyDescent="0.3">
      <c r="A72" s="11" t="s">
        <v>6</v>
      </c>
      <c r="B72" s="12" t="s">
        <v>55</v>
      </c>
      <c r="D72" t="str">
        <f t="shared" si="3"/>
        <v>C-COIL &amp; CP04</v>
      </c>
    </row>
    <row r="73" spans="1:4" x14ac:dyDescent="0.3">
      <c r="A73" s="11" t="s">
        <v>8</v>
      </c>
      <c r="B73" s="12" t="s">
        <v>33</v>
      </c>
      <c r="D73" t="str">
        <f t="shared" si="3"/>
        <v>C-COTH &amp; CP05</v>
      </c>
    </row>
    <row r="74" spans="1:4" x14ac:dyDescent="0.3">
      <c r="A74" s="11" t="s">
        <v>10</v>
      </c>
      <c r="B74" s="12" t="s">
        <v>40</v>
      </c>
      <c r="D74" t="str">
        <f t="shared" si="3"/>
        <v>C-CHEA &amp; CP06</v>
      </c>
    </row>
    <row r="75" spans="1:4" x14ac:dyDescent="0.3">
      <c r="A75" s="11" t="s">
        <v>12</v>
      </c>
      <c r="B75" s="12" t="s">
        <v>35</v>
      </c>
      <c r="D75" t="str">
        <f t="shared" si="3"/>
        <v>C-CWSR &amp; CP07</v>
      </c>
    </row>
    <row r="76" spans="1:4" x14ac:dyDescent="0.3">
      <c r="A76" s="11" t="s">
        <v>12</v>
      </c>
      <c r="B76" s="12" t="s">
        <v>37</v>
      </c>
      <c r="D76" t="str">
        <f t="shared" si="3"/>
        <v>C-C_TRAI &amp; CP07</v>
      </c>
    </row>
    <row r="77" spans="1:4" x14ac:dyDescent="0.3">
      <c r="A77" s="11" t="s">
        <v>12</v>
      </c>
      <c r="B77" s="12" t="s">
        <v>38</v>
      </c>
      <c r="D77" t="str">
        <f t="shared" si="3"/>
        <v>C-C_TLND &amp; CP07</v>
      </c>
    </row>
    <row r="78" spans="1:4" x14ac:dyDescent="0.3">
      <c r="A78" s="11" t="s">
        <v>12</v>
      </c>
      <c r="B78" s="12" t="s">
        <v>39</v>
      </c>
      <c r="D78" t="str">
        <f t="shared" si="3"/>
        <v>C-C_TPIP &amp; CP07</v>
      </c>
    </row>
    <row r="79" spans="1:4" x14ac:dyDescent="0.3">
      <c r="A79" s="11" t="s">
        <v>12</v>
      </c>
      <c r="B79" s="12" t="s">
        <v>52</v>
      </c>
      <c r="D79" t="str">
        <f t="shared" si="3"/>
        <v>C-C_TWAS &amp; CP07</v>
      </c>
    </row>
    <row r="80" spans="1:4" x14ac:dyDescent="0.3">
      <c r="A80" s="11" t="s">
        <v>12</v>
      </c>
      <c r="B80" s="12" t="s">
        <v>53</v>
      </c>
      <c r="D80" t="str">
        <f t="shared" si="3"/>
        <v>C-C_TWAI &amp; CP07</v>
      </c>
    </row>
    <row r="81" spans="1:4" x14ac:dyDescent="0.3">
      <c r="A81" s="11" t="s">
        <v>12</v>
      </c>
      <c r="B81" s="12" t="s">
        <v>54</v>
      </c>
      <c r="D81" t="str">
        <f t="shared" si="3"/>
        <v>C-C_TAIR &amp; CP07</v>
      </c>
    </row>
    <row r="82" spans="1:4" x14ac:dyDescent="0.3">
      <c r="A82" s="11" t="s">
        <v>20</v>
      </c>
      <c r="B82" s="12" t="s">
        <v>36</v>
      </c>
      <c r="D82" t="str">
        <f t="shared" si="3"/>
        <v>C-COFF &amp; CP11</v>
      </c>
    </row>
    <row r="84" spans="1:4" x14ac:dyDescent="0.3">
      <c r="A84" t="str">
        <f>_xlfn.TEXTJOIN("  \\ ",TRUE,D51:D82)</f>
        <v>C-AAGR &amp; CP01  \\ C-IRES &amp; CP01  \\ C-IMIN &amp; CP04  \\ C-NG &amp; CP04  \\ C-BIO &amp; CP04  \\ C-POWF &amp; CP04  \\ C-POWR &amp; CP04  \\ C-POWT &amp; CP04  \\ C-LTH &amp; CP04  \\ C-CCON &amp; CP04  \\ C-Waste &amp; CP04  \\ C-COAL &amp; CP04  \\ C-CRUDE-OIL &amp; CP04  \\ C-GASE &amp; CP04  \\ C-OIL-GSL &amp; CP04  \\ C-OIL-JET &amp; CP04  \\ C-OIL-KER &amp; CP04  \\ C-OIL-DSL &amp; CP04  \\ C-OIL-HDI &amp; CP04  \\ C-OIL-LDSF &amp; CP04  \\ C-IMEA &amp; CP04  \\ C-COIL &amp; CP04  \\ C-COTH &amp; CP05  \\ C-CHEA &amp; CP06  \\ C-CWSR &amp; CP07  \\ C-C_TRAI &amp; CP07  \\ C-C_TLND &amp; CP07  \\ C-C_TPIP &amp; CP07  \\ C-C_TWAS &amp; CP07  \\ C-C_TWAI &amp; CP07  \\ C-C_TAIR &amp; CP07  \\ C-COFF &amp; CP11</v>
      </c>
    </row>
  </sheetData>
  <sortState xmlns:xlrd2="http://schemas.microsoft.com/office/spreadsheetml/2017/richdata2" ref="A51:B82">
    <sortCondition ref="A51:A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71D3-0AFF-4E78-A61A-0A1FDA557EF8}">
  <dimension ref="A1:E74"/>
  <sheetViews>
    <sheetView topLeftCell="A45" zoomScale="86" zoomScaleNormal="128" workbookViewId="0">
      <selection activeCell="A74" sqref="A74"/>
    </sheetView>
  </sheetViews>
  <sheetFormatPr defaultRowHeight="14.4" x14ac:dyDescent="0.3"/>
  <cols>
    <col min="1" max="1" width="17.33203125" customWidth="1"/>
    <col min="2" max="2" width="26.5546875" style="19" customWidth="1"/>
    <col min="3" max="4" width="8.88671875" style="19"/>
    <col min="5" max="5" width="82.109375" style="19" customWidth="1"/>
    <col min="6" max="6" width="8.88671875" style="19"/>
    <col min="7" max="7" width="4.6640625" style="19" customWidth="1"/>
    <col min="8" max="16384" width="8.88671875" style="19"/>
  </cols>
  <sheetData>
    <row r="1" spans="1:5" customFormat="1" x14ac:dyDescent="0.3">
      <c r="A1" s="7" t="s">
        <v>250</v>
      </c>
      <c r="B1" s="20" t="s">
        <v>459</v>
      </c>
      <c r="C1" s="21"/>
      <c r="D1" s="16" t="s">
        <v>56</v>
      </c>
      <c r="E1" s="17"/>
    </row>
    <row r="2" spans="1:5" customFormat="1" ht="100.8" x14ac:dyDescent="0.3">
      <c r="A2" s="14" t="str">
        <f>_xlfn.TEXTJOIN(".",TRUE,D2,C2)</f>
        <v>AAGR.C</v>
      </c>
      <c r="B2" s="21" t="str">
        <f>INDEX($B$29:$B$46,MATCH(C2,$A$29:$A$46,0))</f>
        <v>Manufacturing</v>
      </c>
      <c r="C2" s="21" t="s">
        <v>253</v>
      </c>
      <c r="D2" s="18" t="s">
        <v>287</v>
      </c>
      <c r="E2" s="18" t="str">
        <f ca="1">_xlfn.TEXTJOIN(", ", TRUE, INDIRECT("Sheet4!" &amp; CHAR(64 + ROW(F15) - 14) &amp; "2:" &amp; CHAR(64 + ROW(F15) - 14) &amp; "50"))</f>
        <v>Cultivation of paddy rice , Cultivation of wheat , Cultivation of cereal grains nec , Cultivation of vegetables, fruit, nuts , Cultivation of oil seeds , Cultivation of sugar cane, sugar beet , Cultivation of plant-based fibers , Cultivation of crops nec , Cattle farming , Pigs farming , Poultry farming , Meat animals nec , Animal products nec , Raw milk , Wool, silk-worm cocoons , Manure treatment (conventional), storage and land application , Manure treatment (biogas), storage and land application , Forestry, logging and related service activities , Fishing, operating of fish hatcheries and fish farms; service activities incidental to fishing </v>
      </c>
    </row>
    <row r="3" spans="1:5" customFormat="1" ht="28.8" x14ac:dyDescent="0.3">
      <c r="A3" s="14" t="str">
        <f t="shared" ref="A3:A25" si="0">_xlfn.TEXTJOIN(".",TRUE,D3,C3)</f>
        <v>COAL.B</v>
      </c>
      <c r="B3" s="21" t="str">
        <f t="shared" ref="B3:B25" si="1">INDEX($B$29:$B$46,MATCH(C3,$A$29:$A$46,0))</f>
        <v>Mining and quarrying</v>
      </c>
      <c r="C3" s="21" t="s">
        <v>251</v>
      </c>
      <c r="D3" s="18" t="s">
        <v>288</v>
      </c>
      <c r="E3" s="18" t="str">
        <f t="shared" ref="E3:E14" ca="1" si="2">_xlfn.TEXTJOIN(", ", TRUE, INDIRECT("Sheet4!" &amp; CHAR(64 + ROW(F16) - 14) &amp; "2:" &amp; CHAR(64 + ROW(F16) - 14) &amp; "50"))</f>
        <v>Mining of coal and lignite; extraction of peat </v>
      </c>
    </row>
    <row r="4" spans="1:5" customFormat="1" ht="57.6" x14ac:dyDescent="0.3">
      <c r="A4" s="14" t="str">
        <f t="shared" si="0"/>
        <v>COIL.B</v>
      </c>
      <c r="B4" s="21" t="str">
        <f t="shared" si="1"/>
        <v>Mining and quarrying</v>
      </c>
      <c r="C4" s="21" t="s">
        <v>251</v>
      </c>
      <c r="D4" s="18" t="s">
        <v>289</v>
      </c>
      <c r="E4" s="18" t="str">
        <f t="shared" ca="1" si="2"/>
        <v>Extraction of crude petroleum and services related to crude oil extraction, excluding surveying , Extraction of natural gas and services related to natural gas extraction, excluding surveying , Extraction, liquefaction, and regasification of other petroleum and gaseous materials , Petroleum Refinery </v>
      </c>
    </row>
    <row r="5" spans="1:5" customFormat="1" ht="172.8" x14ac:dyDescent="0.3">
      <c r="A5" s="14" t="str">
        <f t="shared" si="0"/>
        <v>IMIN.B</v>
      </c>
      <c r="B5" s="21" t="str">
        <f t="shared" si="1"/>
        <v>Mining and quarrying</v>
      </c>
      <c r="C5" s="21" t="s">
        <v>251</v>
      </c>
      <c r="D5" s="18" t="s">
        <v>290</v>
      </c>
      <c r="E5" s="18" t="str">
        <f t="shared" ca="1" si="2"/>
        <v>Mining of uranium and thorium ores , Mining of iron ores , Mining of copper ores and concentrates , Mining of nickel ores and concentrates , Mining of aluminium ores and concentrates , Mining of precious metal ores and concentrates , Mining of lead, zinc and tin ores and concentrates , Mining of other non-ferrous metal ores and concentrates , Quarrying of stone , Quarrying of sand and clay , Mining of chemical and fertilizer minerals, production of salt, other mining and quarrying n.e.c. , Manufacture of coke oven products , Manufacture of basic iron and steel and of ferro-alloys and first products thereof , Re-processing of secondary steel into new steel , Precious metals production , Re-processing of secondary preciuos metals into new preciuos metals , Lead, zinc and tin production , Re-processing of secondary lead into new lead , Copper production , Re-processing of secondary copper into new copper , Other non-ferrous metal production , Re-processing of secondary other non-ferrous metals into new other non-ferrous metals , Casting of metals </v>
      </c>
    </row>
    <row r="6" spans="1:5" customFormat="1" ht="302.39999999999998" x14ac:dyDescent="0.3">
      <c r="A6" s="14" t="str">
        <f t="shared" si="0"/>
        <v>IRES.C</v>
      </c>
      <c r="B6" s="21" t="str">
        <f t="shared" si="1"/>
        <v>Manufacturing</v>
      </c>
      <c r="C6" s="21" t="s">
        <v>253</v>
      </c>
      <c r="D6" s="18" t="s">
        <v>291</v>
      </c>
      <c r="E6" s="18" t="str">
        <f t="shared" ca="1" si="2"/>
        <v>Processing of meat cattle , Processing of meat pigs , Processing of meat poultry , Production of meat products nec , Processing vegetable oils and fats , Processing of dairy products , Processed rice , Sugar refining , Processing of Food products nec , Manufacture of beverages , Manufacture of fish products , Manufacture of tobacco products , Manufacture of textiles , Manufacture of wearing apparel; dressing and dyeing of fur , Tanning and dressing of leather; manufacture of luggage, handbags, saddlery, harness and footwear , Manufacture of wood and of products of wood and cork, except furniture; manufacture of articles of straw and plaiting materials , Re-processing of secondary wood material into new wood material , Pulp , Re-processing of secondary paper into new pulp , Paper , Publishing, printing and reproduction of recorded media , Processing of nuclear fuel , Plastics, basic , Re-processing of secondary plastic into new plastic , N-fertiliser , P- and other fertiliser , Chemicals nec , Manufacture of rubber and plastic products , Manufacture of glass and glass products , Re-processing of secondary glass into new glass , Manufacture of ceramic goods , Manufacture of bricks, tiles and construction products, in baked clay , Manufacture of cement, lime and plaster , Re-processing of ash into clinker , Manufacture of other non-metallic mineral products n.e.c. , Manufacture of fabricated metal products, except machinery and equipment , Manufacture of machinery and equipment n.e.c. , Manufacture of office machinery and computers , Manufacture of electrical machinery and apparatus n.e.c. , Manufacture of radio, television and communication equipment and apparatus , Manufacture of medical, precision and optical instruments, watches and clocks , Manufacture of motor vehicles, trailers and semi-trailers , Manufacture of other transport equipment , Manufacture of furniture; manufacturing n.e.c. , Recycling of waste and scrap , Recycling of bottles by direct reuse </v>
      </c>
    </row>
    <row r="7" spans="1:5" customFormat="1" ht="28.8" x14ac:dyDescent="0.3">
      <c r="A7" s="14" t="str">
        <f t="shared" si="0"/>
        <v>IALA.B</v>
      </c>
      <c r="B7" s="21" t="str">
        <f t="shared" si="1"/>
        <v>Mining and quarrying</v>
      </c>
      <c r="C7" s="21" t="s">
        <v>251</v>
      </c>
      <c r="D7" s="18" t="s">
        <v>292</v>
      </c>
      <c r="E7" s="18" t="str">
        <f t="shared" ca="1" si="2"/>
        <v>Aluminium production , Re-processing of secondary aluminium into new aluminium </v>
      </c>
    </row>
    <row r="8" spans="1:5" customFormat="1" ht="43.2" x14ac:dyDescent="0.3">
      <c r="A8" s="14" t="str">
        <f t="shared" si="0"/>
        <v>POWF.D</v>
      </c>
      <c r="B8" s="21" t="str">
        <f t="shared" si="1"/>
        <v>Electricity, gas, steam and air conditioning supply</v>
      </c>
      <c r="C8" s="21" t="s">
        <v>255</v>
      </c>
      <c r="D8" s="18" t="s">
        <v>293</v>
      </c>
      <c r="E8" s="18" t="str">
        <f t="shared" ca="1" si="2"/>
        <v>Production of electricity by coal , Production of electricity by gas , Production of electricity by nuclear , Production of electricity by petroleum and other oil derivatives , Production of electricity nec </v>
      </c>
    </row>
    <row r="9" spans="1:5" customFormat="1" ht="57.6" x14ac:dyDescent="0.3">
      <c r="A9" s="14" t="str">
        <f t="shared" si="0"/>
        <v>POWR.D</v>
      </c>
      <c r="B9" s="21" t="str">
        <f t="shared" si="1"/>
        <v>Electricity, gas, steam and air conditioning supply</v>
      </c>
      <c r="C9" s="21" t="s">
        <v>255</v>
      </c>
      <c r="D9" s="18" t="s">
        <v>294</v>
      </c>
      <c r="E9" s="18" t="str">
        <f t="shared" ca="1" si="2"/>
        <v>Production of electricity by hydro , Production of electricity by wind , Production of electricity by biomass and waste , Production of electricity by solar photovoltaic , Production of electricity by solar thermal , Production of electricity by tide, wave, ocean , Production of electricity by Geothermal </v>
      </c>
    </row>
    <row r="10" spans="1:5" customFormat="1" ht="43.2" x14ac:dyDescent="0.3">
      <c r="A10" s="14" t="str">
        <f t="shared" si="0"/>
        <v>POWT.D</v>
      </c>
      <c r="B10" s="21" t="str">
        <f t="shared" si="1"/>
        <v>Electricity, gas, steam and air conditioning supply</v>
      </c>
      <c r="C10" s="21" t="s">
        <v>255</v>
      </c>
      <c r="D10" s="18" t="s">
        <v>295</v>
      </c>
      <c r="E10" s="18" t="str">
        <f t="shared" ca="1" si="2"/>
        <v>Transmission of electricity , Distribution and trade of electricity </v>
      </c>
    </row>
    <row r="11" spans="1:5" customFormat="1" ht="43.2" x14ac:dyDescent="0.3">
      <c r="A11" s="14" t="str">
        <f t="shared" si="0"/>
        <v>NG.D</v>
      </c>
      <c r="B11" s="21" t="str">
        <f t="shared" si="1"/>
        <v>Electricity, gas, steam and air conditioning supply</v>
      </c>
      <c r="C11" s="21" t="s">
        <v>255</v>
      </c>
      <c r="D11" s="18" t="s">
        <v>296</v>
      </c>
      <c r="E11" s="18" t="str">
        <f t="shared" ca="1" si="2"/>
        <v>Manufacture of gas; distribution of gaseous fuels through mains </v>
      </c>
    </row>
    <row r="12" spans="1:5" customFormat="1" ht="43.2" x14ac:dyDescent="0.3">
      <c r="A12" s="14" t="str">
        <f t="shared" si="0"/>
        <v>LTH.D</v>
      </c>
      <c r="B12" s="21" t="str">
        <f t="shared" si="1"/>
        <v>Electricity, gas, steam and air conditioning supply</v>
      </c>
      <c r="C12" s="21" t="s">
        <v>255</v>
      </c>
      <c r="D12" s="18" t="s">
        <v>297</v>
      </c>
      <c r="E12" s="18" t="str">
        <f t="shared" ca="1" si="2"/>
        <v>Steam and hot water supply </v>
      </c>
    </row>
    <row r="13" spans="1:5" customFormat="1" ht="72" x14ac:dyDescent="0.3">
      <c r="A13" s="14" t="str">
        <f t="shared" si="0"/>
        <v>COTH.E</v>
      </c>
      <c r="B13" s="21" t="str">
        <f t="shared" si="1"/>
        <v>Water supply; sewerage, waste management and remediation activities</v>
      </c>
      <c r="C13" s="21" t="s">
        <v>257</v>
      </c>
      <c r="D13" s="18" t="s">
        <v>298</v>
      </c>
      <c r="E13" s="18" t="str">
        <f t="shared" ca="1" si="2"/>
        <v>Collection, purification and distribution of water , Post and telecommunications , Activities of membership organisation n.e.c. , Recreational, cultural and sporting activities , Other service activities , Private households with employed persons </v>
      </c>
    </row>
    <row r="14" spans="1:5" customFormat="1" x14ac:dyDescent="0.3">
      <c r="A14" s="14" t="str">
        <f t="shared" si="0"/>
        <v>CCON.F</v>
      </c>
      <c r="B14" s="21" t="str">
        <f t="shared" si="1"/>
        <v>Construction</v>
      </c>
      <c r="C14" s="21" t="s">
        <v>259</v>
      </c>
      <c r="D14" s="18" t="s">
        <v>299</v>
      </c>
      <c r="E14" s="18" t="str">
        <f t="shared" ca="1" si="2"/>
        <v>Construction , Re-processing of secondary construction material into aggregates </v>
      </c>
    </row>
    <row r="15" spans="1:5" customFormat="1" ht="57.6" x14ac:dyDescent="0.3">
      <c r="A15" s="14" t="str">
        <f t="shared" si="0"/>
        <v>CWSR.G</v>
      </c>
      <c r="B15" s="21" t="str">
        <f t="shared" si="1"/>
        <v>Wholesale and retail trade; repair of motor vehicles and motorcycles</v>
      </c>
      <c r="C15" s="21" t="s">
        <v>261</v>
      </c>
      <c r="D15" s="18" t="s">
        <v>300</v>
      </c>
      <c r="E15" s="18" t="str">
        <f ca="1">_xlfn.TEXTJOIN(", ", TRUE, INDIRECT("Sheet4!" &amp; CHAR(64 + ROW(F28) - 14) &amp; "2:" &amp; CHAR(64 + ROW(F28) - 14) &amp; "50"))</f>
        <v>Collection, purification and distribution of water , Post and telecommunications , Activities of membership organisation n.e.c. , Recreational, cultural and sporting activities , Other service activities , Private households with employed persons </v>
      </c>
    </row>
    <row r="16" spans="1:5" customFormat="1" ht="100.8" x14ac:dyDescent="0.3">
      <c r="A16" s="14" t="str">
        <f t="shared" si="0"/>
        <v>COFF.L</v>
      </c>
      <c r="B16" s="21" t="str">
        <f t="shared" si="1"/>
        <v>Real estate activities</v>
      </c>
      <c r="C16" s="21" t="s">
        <v>271</v>
      </c>
      <c r="D16" s="18" t="s">
        <v>301</v>
      </c>
      <c r="E16" s="18" t="str">
        <f ca="1">_xlfn.TEXTJOIN(", ", TRUE, INDIRECT("Sheet4!" &amp; CHAR(64 + ROW(F29) - 14) &amp; "2:" &amp; CHAR(64 + ROW(F29) - 14) &amp; "50"))</f>
        <v>Hotels and restaurants , Supporting and auxiliary transport activities; activities of travel agencies , Financial intermediation, except insurance and pension funding , Insurance and pension funding, except compulsory social security , Activities auxiliary to financial intermediation , Real estate activities , Renting of machinery and equipment without operator and of personal and household goods , Computer and related activities , Research and development , Other business activities , Public administration and defence; compulsory social security , Extra-territorial organizations and bodies </v>
      </c>
    </row>
    <row r="17" spans="1:5" customFormat="1" ht="28.8" x14ac:dyDescent="0.3">
      <c r="A17" s="14" t="str">
        <f t="shared" si="0"/>
        <v>C_TRAI.H</v>
      </c>
      <c r="B17" s="21" t="str">
        <f t="shared" si="1"/>
        <v>Transportation and storage</v>
      </c>
      <c r="C17" s="21" t="s">
        <v>263</v>
      </c>
      <c r="D17" s="18" t="s">
        <v>302</v>
      </c>
      <c r="E17" s="18" t="str">
        <f ca="1">_xlfn.TEXTJOIN(", ", TRUE, INDIRECT("Sheet4!" &amp; CHAR(64 + ROW(F30) - 14) &amp; "2:" &amp; CHAR(64 + ROW(F30) - 14) &amp; "50"))</f>
        <v>Transport via railways </v>
      </c>
    </row>
    <row r="18" spans="1:5" customFormat="1" ht="28.8" x14ac:dyDescent="0.3">
      <c r="A18" s="14" t="str">
        <f t="shared" si="0"/>
        <v>C_TLND.H</v>
      </c>
      <c r="B18" s="21" t="str">
        <f t="shared" si="1"/>
        <v>Transportation and storage</v>
      </c>
      <c r="C18" s="21" t="s">
        <v>263</v>
      </c>
      <c r="D18" s="18" t="s">
        <v>303</v>
      </c>
      <c r="E18" s="18" t="str">
        <f ca="1">_xlfn.TEXTJOIN(", ", TRUE, INDIRECT("Sheet4!" &amp; CHAR(64 + ROW(F31) - 14) &amp; "2:" &amp; CHAR(64 + ROW(F31) - 14) &amp; "50"))</f>
        <v>Other land transport </v>
      </c>
    </row>
    <row r="19" spans="1:5" customFormat="1" ht="28.8" x14ac:dyDescent="0.3">
      <c r="A19" s="14" t="str">
        <f t="shared" si="0"/>
        <v>C_TPIP.H</v>
      </c>
      <c r="B19" s="21" t="str">
        <f t="shared" si="1"/>
        <v>Transportation and storage</v>
      </c>
      <c r="C19" s="21" t="s">
        <v>263</v>
      </c>
      <c r="D19" s="18" t="s">
        <v>304</v>
      </c>
      <c r="E19" s="18" t="str">
        <f ca="1">_xlfn.TEXTJOIN(", ", TRUE, INDIRECT("Sheet4!" &amp; CHAR(64 + ROW(F32) - 14) &amp; "2:" &amp; CHAR(64 + ROW(F32) - 14) &amp; "50"))</f>
        <v>Transport via pipelines </v>
      </c>
    </row>
    <row r="20" spans="1:5" customFormat="1" ht="28.8" x14ac:dyDescent="0.3">
      <c r="A20" s="14" t="str">
        <f t="shared" si="0"/>
        <v>C_TWAS.H</v>
      </c>
      <c r="B20" s="21" t="str">
        <f t="shared" si="1"/>
        <v>Transportation and storage</v>
      </c>
      <c r="C20" s="21" t="s">
        <v>263</v>
      </c>
      <c r="D20" s="18" t="s">
        <v>305</v>
      </c>
      <c r="E20" s="18" t="str">
        <f ca="1">_xlfn.TEXTJOIN(", ", TRUE, INDIRECT("Sheet4!" &amp; CHAR(64 + ROW(F33) - 14) &amp; "2:" &amp; CHAR(64 + ROW(F33) - 14) &amp; "50"))</f>
        <v>Sea and coastal water transport </v>
      </c>
    </row>
    <row r="21" spans="1:5" customFormat="1" ht="28.8" x14ac:dyDescent="0.3">
      <c r="A21" s="14" t="str">
        <f t="shared" si="0"/>
        <v>C_TWAI.H</v>
      </c>
      <c r="B21" s="21" t="str">
        <f t="shared" si="1"/>
        <v>Transportation and storage</v>
      </c>
      <c r="C21" s="21" t="s">
        <v>263</v>
      </c>
      <c r="D21" s="18" t="s">
        <v>306</v>
      </c>
      <c r="E21" s="18" t="str">
        <f ca="1">_xlfn.TEXTJOIN(", ", TRUE, INDIRECT("Sheet4!" &amp; CHAR(64 + ROW(F34) - 14) &amp; "2:" &amp; CHAR(64 + ROW(F34) - 14) &amp; "50"))</f>
        <v>Inland water transport </v>
      </c>
    </row>
    <row r="22" spans="1:5" customFormat="1" ht="28.8" x14ac:dyDescent="0.3">
      <c r="A22" s="14" t="str">
        <f t="shared" si="0"/>
        <v>C_TAIR.H</v>
      </c>
      <c r="B22" s="21" t="str">
        <f t="shared" si="1"/>
        <v>Transportation and storage</v>
      </c>
      <c r="C22" s="21" t="s">
        <v>263</v>
      </c>
      <c r="D22" s="18" t="s">
        <v>307</v>
      </c>
      <c r="E22" s="18" t="str">
        <f ca="1">_xlfn.TEXTJOIN(", ", TRUE, INDIRECT("Sheet4!" &amp; CHAR(64 + ROW(F35) - 14) &amp; "2:" &amp; CHAR(64 + ROW(F35) - 14) &amp; "50"))</f>
        <v>Air transport </v>
      </c>
    </row>
    <row r="23" spans="1:5" customFormat="1" ht="43.2" x14ac:dyDescent="0.3">
      <c r="A23" s="14" t="str">
        <f t="shared" si="0"/>
        <v>CHEA.Q</v>
      </c>
      <c r="B23" s="21" t="str">
        <f t="shared" si="1"/>
        <v>Human health and social work activities</v>
      </c>
      <c r="C23" s="21" t="s">
        <v>280</v>
      </c>
      <c r="D23" s="18" t="s">
        <v>308</v>
      </c>
      <c r="E23" s="18" t="str">
        <f ca="1">_xlfn.TEXTJOIN(", ", TRUE, INDIRECT("Sheet4!" &amp; CHAR(64 + ROW(F36) - 14) &amp; "2:" &amp; CHAR(64 + ROW(F36) - 14) &amp; "50"))</f>
        <v>Education , Health and social work </v>
      </c>
    </row>
    <row r="24" spans="1:5" customFormat="1" ht="100.8" x14ac:dyDescent="0.3">
      <c r="A24" s="14" t="str">
        <f t="shared" si="0"/>
        <v>Waste.E</v>
      </c>
      <c r="B24" s="21" t="str">
        <f t="shared" si="1"/>
        <v>Water supply; sewerage, waste management and remediation activities</v>
      </c>
      <c r="C24" s="21" t="s">
        <v>257</v>
      </c>
      <c r="D24" s="18" t="s">
        <v>309</v>
      </c>
      <c r="E24" s="18" t="str">
        <f ca="1">_xlfn.TEXTJOIN(", ", TRUE, INDIRECT("Sheet4!" &amp; CHAR(64 + ROW(F37) - 14) &amp; "2:" &amp; CHAR(64 + ROW(F37) - 14) &amp; "50"))</f>
        <v>Incineration of waste: Food , Incineration of waste: Paper , Incineration of waste: Plastic , Incineration of waste: Metals and Inert materials , Incineration of waste: Textiles , Incineration of waste: Wood , Incineration of waste: Oil-Hazardous waste , Composting of food waste, incl. land application , Composting of paper and wood, incl. land application , Waste water treatment, food , Waste water treatment, other , Landfill of waste: Food , Landfill of waste: Paper , Landfill of waste: Plastic , Landfill of waste: Inert-metal-hazardous , Landfill of waste: Textiles , Landfill of waste: Wood </v>
      </c>
    </row>
    <row r="25" spans="1:5" customFormat="1" ht="72" x14ac:dyDescent="0.3">
      <c r="A25" s="14" t="str">
        <f t="shared" si="0"/>
        <v>BIO.E</v>
      </c>
      <c r="B25" s="21" t="str">
        <f t="shared" si="1"/>
        <v>Water supply; sewerage, waste management and remediation activities</v>
      </c>
      <c r="C25" s="21" t="s">
        <v>257</v>
      </c>
      <c r="D25" s="18" t="s">
        <v>310</v>
      </c>
      <c r="E25" s="18" t="str">
        <f ca="1">_xlfn.TEXTJOIN(", ", TRUE, INDIRECT("Sheet4!" &amp; CHAR(64 + ROW(F38) - 14) &amp; "2:" &amp; CHAR(64 + ROW(F38) - 14) &amp; "50"))</f>
        <v>Biogasification of food waste, incl. land application , Biogasification of paper, incl. land application , Biogasification of sewage slugde, incl. land application </v>
      </c>
    </row>
    <row r="27" spans="1:5" x14ac:dyDescent="0.3">
      <c r="A27" t="str">
        <f>_xlfn.TEXTJOIN(", ",TRUE,A2:A25)</f>
        <v>AAGR.C, COAL.B, COIL.B, IMIN.B, IRES.C, IALA.B, POWF.D, POWR.D, POWT.D, NG.D, LTH.D, COTH.E, CCON.F, CWSR.G, COFF.L, C_TRAI.H, C_TLND.H, C_TPIP.H, C_TWAS.H, C_TWAI.H, C_TAIR.H, CHEA.Q, Waste.E, BIO.E</v>
      </c>
    </row>
    <row r="28" spans="1:5" x14ac:dyDescent="0.3">
      <c r="A28" s="15" t="s">
        <v>286</v>
      </c>
    </row>
    <row r="29" spans="1:5" x14ac:dyDescent="0.3">
      <c r="A29" t="s">
        <v>251</v>
      </c>
      <c r="B29" s="19" t="s">
        <v>252</v>
      </c>
    </row>
    <row r="30" spans="1:5" x14ac:dyDescent="0.3">
      <c r="A30" t="s">
        <v>253</v>
      </c>
      <c r="B30" s="19" t="s">
        <v>254</v>
      </c>
    </row>
    <row r="31" spans="1:5" x14ac:dyDescent="0.3">
      <c r="A31" t="s">
        <v>255</v>
      </c>
      <c r="B31" s="19" t="s">
        <v>256</v>
      </c>
    </row>
    <row r="32" spans="1:5" x14ac:dyDescent="0.3">
      <c r="A32" t="s">
        <v>257</v>
      </c>
      <c r="B32" s="19" t="s">
        <v>258</v>
      </c>
    </row>
    <row r="33" spans="1:4" x14ac:dyDescent="0.3">
      <c r="A33" t="s">
        <v>259</v>
      </c>
      <c r="B33" s="19" t="s">
        <v>260</v>
      </c>
    </row>
    <row r="34" spans="1:4" x14ac:dyDescent="0.3">
      <c r="A34" t="s">
        <v>261</v>
      </c>
      <c r="B34" s="19" t="s">
        <v>262</v>
      </c>
    </row>
    <row r="35" spans="1:4" x14ac:dyDescent="0.3">
      <c r="A35" t="s">
        <v>263</v>
      </c>
      <c r="B35" s="19" t="s">
        <v>264</v>
      </c>
    </row>
    <row r="36" spans="1:4" x14ac:dyDescent="0.3">
      <c r="A36" t="s">
        <v>265</v>
      </c>
      <c r="B36" s="19" t="s">
        <v>266</v>
      </c>
    </row>
    <row r="37" spans="1:4" x14ac:dyDescent="0.3">
      <c r="A37" t="s">
        <v>267</v>
      </c>
      <c r="B37" s="19" t="s">
        <v>268</v>
      </c>
    </row>
    <row r="38" spans="1:4" x14ac:dyDescent="0.3">
      <c r="A38" t="s">
        <v>269</v>
      </c>
      <c r="B38" s="19" t="s">
        <v>270</v>
      </c>
    </row>
    <row r="39" spans="1:4" x14ac:dyDescent="0.3">
      <c r="A39" t="s">
        <v>271</v>
      </c>
      <c r="B39" s="19" t="s">
        <v>272</v>
      </c>
    </row>
    <row r="40" spans="1:4" x14ac:dyDescent="0.3">
      <c r="A40" t="s">
        <v>273</v>
      </c>
      <c r="B40" s="19" t="s">
        <v>274</v>
      </c>
    </row>
    <row r="41" spans="1:4" x14ac:dyDescent="0.3">
      <c r="A41" t="s">
        <v>275</v>
      </c>
      <c r="B41" s="19" t="s">
        <v>276</v>
      </c>
    </row>
    <row r="42" spans="1:4" x14ac:dyDescent="0.3">
      <c r="A42" t="s">
        <v>277</v>
      </c>
      <c r="B42" s="19" t="s">
        <v>278</v>
      </c>
    </row>
    <row r="43" spans="1:4" x14ac:dyDescent="0.3">
      <c r="A43" t="s">
        <v>279</v>
      </c>
      <c r="B43" s="19" t="s">
        <v>19</v>
      </c>
    </row>
    <row r="44" spans="1:4" x14ac:dyDescent="0.3">
      <c r="A44" t="s">
        <v>280</v>
      </c>
      <c r="B44" s="19" t="s">
        <v>281</v>
      </c>
    </row>
    <row r="45" spans="1:4" x14ac:dyDescent="0.3">
      <c r="A45" t="s">
        <v>282</v>
      </c>
      <c r="B45" s="19" t="s">
        <v>283</v>
      </c>
    </row>
    <row r="46" spans="1:4" x14ac:dyDescent="0.3">
      <c r="A46" t="s">
        <v>284</v>
      </c>
      <c r="B46" s="19" t="s">
        <v>285</v>
      </c>
    </row>
    <row r="48" spans="1:4" x14ac:dyDescent="0.3">
      <c r="A48" t="s">
        <v>460</v>
      </c>
      <c r="B48"/>
      <c r="C48"/>
      <c r="D48"/>
    </row>
    <row r="49" spans="1:4" x14ac:dyDescent="0.3">
      <c r="A49" s="21" t="s">
        <v>251</v>
      </c>
      <c r="B49" s="18" t="s">
        <v>288</v>
      </c>
      <c r="C49"/>
      <c r="D49" t="str">
        <f>_xlfn.TEXTJOIN(" &amp; ",TRUE,B49,A49)</f>
        <v>COAL &amp; B</v>
      </c>
    </row>
    <row r="50" spans="1:4" x14ac:dyDescent="0.3">
      <c r="A50" s="21" t="s">
        <v>251</v>
      </c>
      <c r="B50" s="18" t="s">
        <v>289</v>
      </c>
      <c r="C50"/>
      <c r="D50" t="str">
        <f t="shared" ref="D50:D72" si="3">_xlfn.TEXTJOIN(" &amp; ",TRUE,B50,A50)</f>
        <v>COIL &amp; B</v>
      </c>
    </row>
    <row r="51" spans="1:4" x14ac:dyDescent="0.3">
      <c r="A51" s="21" t="s">
        <v>251</v>
      </c>
      <c r="B51" s="18" t="s">
        <v>292</v>
      </c>
      <c r="C51"/>
      <c r="D51" t="str">
        <f t="shared" si="3"/>
        <v>IALA &amp; B</v>
      </c>
    </row>
    <row r="52" spans="1:4" x14ac:dyDescent="0.3">
      <c r="A52" s="21" t="s">
        <v>251</v>
      </c>
      <c r="B52" s="18" t="s">
        <v>290</v>
      </c>
      <c r="C52"/>
      <c r="D52" t="str">
        <f t="shared" si="3"/>
        <v>IMIN &amp; B</v>
      </c>
    </row>
    <row r="53" spans="1:4" x14ac:dyDescent="0.3">
      <c r="A53" s="21" t="s">
        <v>253</v>
      </c>
      <c r="B53" s="18" t="s">
        <v>287</v>
      </c>
      <c r="C53"/>
      <c r="D53" t="str">
        <f t="shared" si="3"/>
        <v>AAGR &amp; C</v>
      </c>
    </row>
    <row r="54" spans="1:4" x14ac:dyDescent="0.3">
      <c r="A54" s="21" t="s">
        <v>253</v>
      </c>
      <c r="B54" s="18" t="s">
        <v>291</v>
      </c>
      <c r="C54"/>
      <c r="D54" t="str">
        <f t="shared" si="3"/>
        <v>IRES &amp; C</v>
      </c>
    </row>
    <row r="55" spans="1:4" x14ac:dyDescent="0.3">
      <c r="A55" s="21" t="s">
        <v>255</v>
      </c>
      <c r="B55" s="18" t="s">
        <v>297</v>
      </c>
      <c r="C55"/>
      <c r="D55" t="str">
        <f t="shared" si="3"/>
        <v>LTH &amp; D</v>
      </c>
    </row>
    <row r="56" spans="1:4" x14ac:dyDescent="0.3">
      <c r="A56" s="21" t="s">
        <v>255</v>
      </c>
      <c r="B56" s="18" t="s">
        <v>296</v>
      </c>
      <c r="C56"/>
      <c r="D56" t="str">
        <f t="shared" si="3"/>
        <v>NG &amp; D</v>
      </c>
    </row>
    <row r="57" spans="1:4" x14ac:dyDescent="0.3">
      <c r="A57" s="21" t="s">
        <v>255</v>
      </c>
      <c r="B57" s="18" t="s">
        <v>293</v>
      </c>
      <c r="C57"/>
      <c r="D57" t="str">
        <f t="shared" si="3"/>
        <v>POWF &amp; D</v>
      </c>
    </row>
    <row r="58" spans="1:4" x14ac:dyDescent="0.3">
      <c r="A58" s="21" t="s">
        <v>255</v>
      </c>
      <c r="B58" s="18" t="s">
        <v>294</v>
      </c>
      <c r="C58"/>
      <c r="D58" t="str">
        <f t="shared" si="3"/>
        <v>POWR &amp; D</v>
      </c>
    </row>
    <row r="59" spans="1:4" x14ac:dyDescent="0.3">
      <c r="A59" s="21" t="s">
        <v>255</v>
      </c>
      <c r="B59" s="18" t="s">
        <v>295</v>
      </c>
      <c r="C59"/>
      <c r="D59" t="str">
        <f t="shared" si="3"/>
        <v>POWT &amp; D</v>
      </c>
    </row>
    <row r="60" spans="1:4" x14ac:dyDescent="0.3">
      <c r="A60" s="21" t="s">
        <v>257</v>
      </c>
      <c r="B60" s="18" t="s">
        <v>310</v>
      </c>
      <c r="C60"/>
      <c r="D60" t="str">
        <f t="shared" si="3"/>
        <v>BIO &amp; E</v>
      </c>
    </row>
    <row r="61" spans="1:4" x14ac:dyDescent="0.3">
      <c r="A61" s="21" t="s">
        <v>257</v>
      </c>
      <c r="B61" s="18" t="s">
        <v>298</v>
      </c>
      <c r="C61"/>
      <c r="D61" t="str">
        <f t="shared" si="3"/>
        <v>COTH &amp; E</v>
      </c>
    </row>
    <row r="62" spans="1:4" x14ac:dyDescent="0.3">
      <c r="A62" s="21" t="s">
        <v>257</v>
      </c>
      <c r="B62" s="18" t="s">
        <v>309</v>
      </c>
      <c r="C62"/>
      <c r="D62" t="str">
        <f t="shared" si="3"/>
        <v>Waste &amp; E</v>
      </c>
    </row>
    <row r="63" spans="1:4" x14ac:dyDescent="0.3">
      <c r="A63" s="21" t="s">
        <v>259</v>
      </c>
      <c r="B63" s="18" t="s">
        <v>299</v>
      </c>
      <c r="C63"/>
      <c r="D63" t="str">
        <f t="shared" si="3"/>
        <v>CCON &amp; F</v>
      </c>
    </row>
    <row r="64" spans="1:4" x14ac:dyDescent="0.3">
      <c r="A64" s="21" t="s">
        <v>261</v>
      </c>
      <c r="B64" s="18" t="s">
        <v>300</v>
      </c>
      <c r="C64"/>
      <c r="D64" t="str">
        <f t="shared" si="3"/>
        <v>CWSR &amp; G</v>
      </c>
    </row>
    <row r="65" spans="1:4" x14ac:dyDescent="0.3">
      <c r="A65" s="21" t="s">
        <v>263</v>
      </c>
      <c r="B65" s="18" t="s">
        <v>307</v>
      </c>
      <c r="C65"/>
      <c r="D65" t="str">
        <f t="shared" si="3"/>
        <v>C_TAIR &amp; H</v>
      </c>
    </row>
    <row r="66" spans="1:4" x14ac:dyDescent="0.3">
      <c r="A66" s="21" t="s">
        <v>263</v>
      </c>
      <c r="B66" s="18" t="s">
        <v>303</v>
      </c>
      <c r="C66"/>
      <c r="D66" t="str">
        <f t="shared" si="3"/>
        <v>C_TLND &amp; H</v>
      </c>
    </row>
    <row r="67" spans="1:4" x14ac:dyDescent="0.3">
      <c r="A67" s="21" t="s">
        <v>263</v>
      </c>
      <c r="B67" s="18" t="s">
        <v>304</v>
      </c>
      <c r="C67"/>
      <c r="D67" t="str">
        <f t="shared" si="3"/>
        <v>C_TPIP &amp; H</v>
      </c>
    </row>
    <row r="68" spans="1:4" x14ac:dyDescent="0.3">
      <c r="A68" s="21" t="s">
        <v>263</v>
      </c>
      <c r="B68" s="18" t="s">
        <v>302</v>
      </c>
      <c r="C68"/>
      <c r="D68" t="str">
        <f t="shared" si="3"/>
        <v>C_TRAI &amp; H</v>
      </c>
    </row>
    <row r="69" spans="1:4" x14ac:dyDescent="0.3">
      <c r="A69" s="21" t="s">
        <v>263</v>
      </c>
      <c r="B69" s="18" t="s">
        <v>306</v>
      </c>
      <c r="C69"/>
      <c r="D69" t="str">
        <f t="shared" si="3"/>
        <v>C_TWAI &amp; H</v>
      </c>
    </row>
    <row r="70" spans="1:4" x14ac:dyDescent="0.3">
      <c r="A70" s="21" t="s">
        <v>263</v>
      </c>
      <c r="B70" s="18" t="s">
        <v>305</v>
      </c>
      <c r="C70"/>
      <c r="D70" t="str">
        <f t="shared" si="3"/>
        <v>C_TWAS &amp; H</v>
      </c>
    </row>
    <row r="71" spans="1:4" x14ac:dyDescent="0.3">
      <c r="A71" s="21" t="s">
        <v>271</v>
      </c>
      <c r="B71" s="18" t="s">
        <v>301</v>
      </c>
      <c r="C71"/>
      <c r="D71" t="str">
        <f t="shared" si="3"/>
        <v>COFF &amp; L</v>
      </c>
    </row>
    <row r="72" spans="1:4" x14ac:dyDescent="0.3">
      <c r="A72" s="21" t="s">
        <v>280</v>
      </c>
      <c r="B72" s="18" t="s">
        <v>308</v>
      </c>
      <c r="C72"/>
      <c r="D72" t="str">
        <f t="shared" si="3"/>
        <v>CHEA &amp; Q</v>
      </c>
    </row>
    <row r="73" spans="1:4" x14ac:dyDescent="0.3">
      <c r="B73"/>
      <c r="C73"/>
      <c r="D73"/>
    </row>
    <row r="74" spans="1:4" x14ac:dyDescent="0.3">
      <c r="A74" t="str">
        <f>_xlfn.TEXTJOIN("  \\ ",TRUE,D49:D72)</f>
        <v>COAL &amp; B  \\ COIL &amp; B  \\ IALA &amp; B  \\ IMIN &amp; B  \\ AAGR &amp; C  \\ IRES &amp; C  \\ LTH &amp; D  \\ NG &amp; D  \\ POWF &amp; D  \\ POWR &amp; D  \\ POWT &amp; D  \\ BIO &amp; E  \\ COTH &amp; E  \\ Waste &amp; E  \\ CCON &amp; F  \\ CWSR &amp; G  \\ C_TAIR &amp; H  \\ C_TLND &amp; H  \\ C_TPIP &amp; H  \\ C_TRAI &amp; H  \\ C_TWAI &amp; H  \\ C_TWAS &amp; H  \\ COFF &amp; L  \\ CHEA &amp; Q</v>
      </c>
      <c r="B74"/>
      <c r="C74"/>
      <c r="D74"/>
    </row>
  </sheetData>
  <sortState xmlns:xlrd2="http://schemas.microsoft.com/office/spreadsheetml/2017/richdata2" ref="A49:B72">
    <sortCondition ref="A49:A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C669-BFF8-4D30-A008-12BCE6A8F502}">
  <dimension ref="A1:X47"/>
  <sheetViews>
    <sheetView workbookViewId="0">
      <selection activeCell="E2" sqref="E2"/>
    </sheetView>
  </sheetViews>
  <sheetFormatPr defaultRowHeight="14.4" x14ac:dyDescent="0.3"/>
  <sheetData>
    <row r="1" spans="1:24" x14ac:dyDescent="0.3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</row>
    <row r="2" spans="1:24" x14ac:dyDescent="0.3">
      <c r="A2" t="s">
        <v>311</v>
      </c>
      <c r="B2" t="s">
        <v>339</v>
      </c>
      <c r="C2" t="s">
        <v>352</v>
      </c>
      <c r="D2" t="s">
        <v>363</v>
      </c>
      <c r="E2" t="s">
        <v>386</v>
      </c>
      <c r="F2" t="s">
        <v>361</v>
      </c>
      <c r="G2" t="s">
        <v>428</v>
      </c>
      <c r="H2" t="s">
        <v>433</v>
      </c>
      <c r="I2" t="s">
        <v>440</v>
      </c>
      <c r="J2" s="5" t="s">
        <v>427</v>
      </c>
      <c r="K2" s="5" t="s">
        <v>426</v>
      </c>
      <c r="L2" t="s">
        <v>356</v>
      </c>
      <c r="M2" t="s">
        <v>335</v>
      </c>
      <c r="N2" t="s">
        <v>356</v>
      </c>
      <c r="O2" t="s">
        <v>340</v>
      </c>
      <c r="P2" t="s">
        <v>332</v>
      </c>
      <c r="Q2" t="s">
        <v>330</v>
      </c>
      <c r="R2" t="s">
        <v>331</v>
      </c>
      <c r="S2" t="s">
        <v>334</v>
      </c>
      <c r="T2" t="s">
        <v>333</v>
      </c>
      <c r="U2" t="s">
        <v>329</v>
      </c>
      <c r="V2" t="s">
        <v>337</v>
      </c>
      <c r="W2" t="s">
        <v>442</v>
      </c>
      <c r="X2" t="s">
        <v>326</v>
      </c>
    </row>
    <row r="3" spans="1:24" x14ac:dyDescent="0.3">
      <c r="A3" t="s">
        <v>312</v>
      </c>
      <c r="C3" t="s">
        <v>353</v>
      </c>
      <c r="D3" t="s">
        <v>364</v>
      </c>
      <c r="E3" t="s">
        <v>387</v>
      </c>
      <c r="F3" t="s">
        <v>362</v>
      </c>
      <c r="G3" t="s">
        <v>429</v>
      </c>
      <c r="H3" t="s">
        <v>434</v>
      </c>
      <c r="I3" t="s">
        <v>441</v>
      </c>
      <c r="L3" t="s">
        <v>357</v>
      </c>
      <c r="M3" t="s">
        <v>336</v>
      </c>
      <c r="N3" t="s">
        <v>357</v>
      </c>
      <c r="O3" t="s">
        <v>341</v>
      </c>
      <c r="V3" t="s">
        <v>338</v>
      </c>
      <c r="W3" t="s">
        <v>443</v>
      </c>
      <c r="X3" t="s">
        <v>327</v>
      </c>
    </row>
    <row r="4" spans="1:24" x14ac:dyDescent="0.3">
      <c r="A4" t="s">
        <v>313</v>
      </c>
      <c r="C4" t="s">
        <v>354</v>
      </c>
      <c r="D4" t="s">
        <v>365</v>
      </c>
      <c r="E4" t="s">
        <v>388</v>
      </c>
      <c r="G4" t="s">
        <v>430</v>
      </c>
      <c r="H4" t="s">
        <v>435</v>
      </c>
      <c r="L4" t="s">
        <v>358</v>
      </c>
      <c r="N4" t="s">
        <v>358</v>
      </c>
      <c r="O4" t="s">
        <v>342</v>
      </c>
      <c r="W4" t="s">
        <v>444</v>
      </c>
      <c r="X4" t="s">
        <v>328</v>
      </c>
    </row>
    <row r="5" spans="1:24" x14ac:dyDescent="0.3">
      <c r="A5" t="s">
        <v>314</v>
      </c>
      <c r="C5" t="s">
        <v>355</v>
      </c>
      <c r="D5" t="s">
        <v>366</v>
      </c>
      <c r="E5" t="s">
        <v>389</v>
      </c>
      <c r="G5" t="s">
        <v>431</v>
      </c>
      <c r="H5" t="s">
        <v>436</v>
      </c>
      <c r="L5" t="s">
        <v>359</v>
      </c>
      <c r="N5" t="s">
        <v>359</v>
      </c>
      <c r="O5" t="s">
        <v>343</v>
      </c>
      <c r="W5" t="s">
        <v>445</v>
      </c>
    </row>
    <row r="6" spans="1:24" x14ac:dyDescent="0.3">
      <c r="A6" t="s">
        <v>315</v>
      </c>
      <c r="D6" t="s">
        <v>367</v>
      </c>
      <c r="E6" t="s">
        <v>390</v>
      </c>
      <c r="G6" t="s">
        <v>432</v>
      </c>
      <c r="H6" t="s">
        <v>437</v>
      </c>
      <c r="L6" t="s">
        <v>360</v>
      </c>
      <c r="N6" t="s">
        <v>360</v>
      </c>
      <c r="O6" t="s">
        <v>344</v>
      </c>
      <c r="W6" t="s">
        <v>446</v>
      </c>
    </row>
    <row r="7" spans="1:24" x14ac:dyDescent="0.3">
      <c r="A7" t="s">
        <v>316</v>
      </c>
      <c r="D7" t="s">
        <v>368</v>
      </c>
      <c r="E7" t="s">
        <v>391</v>
      </c>
      <c r="H7" t="s">
        <v>438</v>
      </c>
      <c r="L7" t="s">
        <v>170</v>
      </c>
      <c r="N7" t="s">
        <v>170</v>
      </c>
      <c r="O7" t="s">
        <v>345</v>
      </c>
      <c r="W7" t="s">
        <v>447</v>
      </c>
    </row>
    <row r="8" spans="1:24" x14ac:dyDescent="0.3">
      <c r="A8" t="s">
        <v>317</v>
      </c>
      <c r="D8" t="s">
        <v>369</v>
      </c>
      <c r="E8" t="s">
        <v>94</v>
      </c>
      <c r="H8" t="s">
        <v>439</v>
      </c>
      <c r="O8" t="s">
        <v>346</v>
      </c>
      <c r="W8" t="s">
        <v>448</v>
      </c>
    </row>
    <row r="9" spans="1:24" x14ac:dyDescent="0.3">
      <c r="A9" t="s">
        <v>318</v>
      </c>
      <c r="D9" t="s">
        <v>370</v>
      </c>
      <c r="E9" t="s">
        <v>392</v>
      </c>
      <c r="O9" t="s">
        <v>347</v>
      </c>
      <c r="W9" t="s">
        <v>449</v>
      </c>
    </row>
    <row r="10" spans="1:24" x14ac:dyDescent="0.3">
      <c r="A10" t="s">
        <v>319</v>
      </c>
      <c r="D10" t="s">
        <v>371</v>
      </c>
      <c r="E10" t="s">
        <v>393</v>
      </c>
      <c r="O10" t="s">
        <v>348</v>
      </c>
      <c r="W10" t="s">
        <v>450</v>
      </c>
    </row>
    <row r="11" spans="1:24" x14ac:dyDescent="0.3">
      <c r="A11" t="s">
        <v>320</v>
      </c>
      <c r="D11" t="s">
        <v>372</v>
      </c>
      <c r="E11" t="s">
        <v>394</v>
      </c>
      <c r="O11" t="s">
        <v>349</v>
      </c>
      <c r="W11" t="s">
        <v>451</v>
      </c>
    </row>
    <row r="12" spans="1:24" x14ac:dyDescent="0.3">
      <c r="A12" t="s">
        <v>321</v>
      </c>
      <c r="D12" t="s">
        <v>373</v>
      </c>
      <c r="E12" t="s">
        <v>395</v>
      </c>
      <c r="O12" t="s">
        <v>350</v>
      </c>
      <c r="W12" t="s">
        <v>452</v>
      </c>
    </row>
    <row r="13" spans="1:24" x14ac:dyDescent="0.3">
      <c r="A13" t="s">
        <v>69</v>
      </c>
      <c r="D13" t="s">
        <v>374</v>
      </c>
      <c r="E13" t="s">
        <v>396</v>
      </c>
      <c r="O13" t="s">
        <v>351</v>
      </c>
      <c r="W13" t="s">
        <v>453</v>
      </c>
    </row>
    <row r="14" spans="1:24" x14ac:dyDescent="0.3">
      <c r="A14" t="s">
        <v>70</v>
      </c>
      <c r="D14" t="s">
        <v>375</v>
      </c>
      <c r="E14" t="s">
        <v>397</v>
      </c>
      <c r="W14" t="s">
        <v>454</v>
      </c>
    </row>
    <row r="15" spans="1:24" x14ac:dyDescent="0.3">
      <c r="A15" t="s">
        <v>71</v>
      </c>
      <c r="D15" t="s">
        <v>376</v>
      </c>
      <c r="E15" t="s">
        <v>398</v>
      </c>
      <c r="W15" t="s">
        <v>455</v>
      </c>
    </row>
    <row r="16" spans="1:24" x14ac:dyDescent="0.3">
      <c r="A16" t="s">
        <v>72</v>
      </c>
      <c r="D16" t="s">
        <v>377</v>
      </c>
      <c r="E16" t="s">
        <v>399</v>
      </c>
      <c r="W16" t="s">
        <v>456</v>
      </c>
    </row>
    <row r="17" spans="1:23" x14ac:dyDescent="0.3">
      <c r="A17" t="s">
        <v>322</v>
      </c>
      <c r="D17" t="s">
        <v>378</v>
      </c>
      <c r="E17" t="s">
        <v>400</v>
      </c>
      <c r="W17" t="s">
        <v>457</v>
      </c>
    </row>
    <row r="18" spans="1:23" x14ac:dyDescent="0.3">
      <c r="A18" t="s">
        <v>323</v>
      </c>
      <c r="D18" t="s">
        <v>379</v>
      </c>
      <c r="E18" t="s">
        <v>401</v>
      </c>
      <c r="W18" t="s">
        <v>458</v>
      </c>
    </row>
    <row r="19" spans="1:23" x14ac:dyDescent="0.3">
      <c r="A19" t="s">
        <v>324</v>
      </c>
      <c r="D19" t="s">
        <v>380</v>
      </c>
      <c r="E19" t="s">
        <v>105</v>
      </c>
    </row>
    <row r="20" spans="1:23" x14ac:dyDescent="0.3">
      <c r="A20" t="s">
        <v>325</v>
      </c>
      <c r="D20" t="s">
        <v>381</v>
      </c>
      <c r="E20" t="s">
        <v>402</v>
      </c>
    </row>
    <row r="21" spans="1:23" x14ac:dyDescent="0.3">
      <c r="D21" t="s">
        <v>382</v>
      </c>
      <c r="E21" t="s">
        <v>403</v>
      </c>
    </row>
    <row r="22" spans="1:23" x14ac:dyDescent="0.3">
      <c r="D22" t="s">
        <v>383</v>
      </c>
      <c r="E22" t="s">
        <v>404</v>
      </c>
    </row>
    <row r="23" spans="1:23" x14ac:dyDescent="0.3">
      <c r="D23" t="s">
        <v>384</v>
      </c>
      <c r="E23" t="s">
        <v>405</v>
      </c>
    </row>
    <row r="24" spans="1:23" x14ac:dyDescent="0.3">
      <c r="D24" t="s">
        <v>385</v>
      </c>
      <c r="E24" t="s">
        <v>110</v>
      </c>
    </row>
    <row r="25" spans="1:23" x14ac:dyDescent="0.3">
      <c r="E25" t="s">
        <v>406</v>
      </c>
    </row>
    <row r="26" spans="1:23" x14ac:dyDescent="0.3">
      <c r="E26" t="s">
        <v>112</v>
      </c>
    </row>
    <row r="27" spans="1:23" x14ac:dyDescent="0.3">
      <c r="E27" t="s">
        <v>113</v>
      </c>
    </row>
    <row r="28" spans="1:23" x14ac:dyDescent="0.3">
      <c r="E28" t="s">
        <v>114</v>
      </c>
    </row>
    <row r="29" spans="1:23" x14ac:dyDescent="0.3">
      <c r="E29" t="s">
        <v>407</v>
      </c>
    </row>
    <row r="30" spans="1:23" x14ac:dyDescent="0.3">
      <c r="E30" t="s">
        <v>408</v>
      </c>
    </row>
    <row r="31" spans="1:23" x14ac:dyDescent="0.3">
      <c r="E31" t="s">
        <v>409</v>
      </c>
    </row>
    <row r="32" spans="1:23" x14ac:dyDescent="0.3">
      <c r="E32" t="s">
        <v>410</v>
      </c>
    </row>
    <row r="33" spans="5:5" x14ac:dyDescent="0.3">
      <c r="E33" t="s">
        <v>411</v>
      </c>
    </row>
    <row r="34" spans="5:5" x14ac:dyDescent="0.3">
      <c r="E34" t="s">
        <v>412</v>
      </c>
    </row>
    <row r="35" spans="5:5" x14ac:dyDescent="0.3">
      <c r="E35" t="s">
        <v>413</v>
      </c>
    </row>
    <row r="36" spans="5:5" x14ac:dyDescent="0.3">
      <c r="E36" t="s">
        <v>414</v>
      </c>
    </row>
    <row r="37" spans="5:5" x14ac:dyDescent="0.3">
      <c r="E37" t="s">
        <v>415</v>
      </c>
    </row>
    <row r="38" spans="5:5" x14ac:dyDescent="0.3">
      <c r="E38" t="s">
        <v>416</v>
      </c>
    </row>
    <row r="39" spans="5:5" x14ac:dyDescent="0.3">
      <c r="E39" t="s">
        <v>417</v>
      </c>
    </row>
    <row r="40" spans="5:5" x14ac:dyDescent="0.3">
      <c r="E40" t="s">
        <v>418</v>
      </c>
    </row>
    <row r="41" spans="5:5" x14ac:dyDescent="0.3">
      <c r="E41" t="s">
        <v>419</v>
      </c>
    </row>
    <row r="42" spans="5:5" x14ac:dyDescent="0.3">
      <c r="E42" t="s">
        <v>420</v>
      </c>
    </row>
    <row r="43" spans="5:5" x14ac:dyDescent="0.3">
      <c r="E43" t="s">
        <v>421</v>
      </c>
    </row>
    <row r="44" spans="5:5" x14ac:dyDescent="0.3">
      <c r="E44" t="s">
        <v>422</v>
      </c>
    </row>
    <row r="45" spans="5:5" x14ac:dyDescent="0.3">
      <c r="E45" t="s">
        <v>423</v>
      </c>
    </row>
    <row r="46" spans="5:5" x14ac:dyDescent="0.3">
      <c r="E46" t="s">
        <v>424</v>
      </c>
    </row>
    <row r="47" spans="5:5" x14ac:dyDescent="0.3">
      <c r="E47" t="s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8CA0-92F8-49DD-80EB-FA696D822FED}">
  <dimension ref="A1:AF48"/>
  <sheetViews>
    <sheetView topLeftCell="V1" workbookViewId="0">
      <selection activeCell="AA2" sqref="AA2"/>
    </sheetView>
  </sheetViews>
  <sheetFormatPr defaultRowHeight="14.4" x14ac:dyDescent="0.3"/>
  <cols>
    <col min="1" max="1" width="16.33203125" customWidth="1"/>
    <col min="3" max="3" width="13.77734375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</row>
    <row r="2" spans="1:32" ht="115.2" x14ac:dyDescent="0.3">
      <c r="A2" s="1" t="s">
        <v>58</v>
      </c>
      <c r="B2" t="s">
        <v>77</v>
      </c>
      <c r="C2" s="1" t="s">
        <v>88</v>
      </c>
      <c r="D2" s="1" t="s">
        <v>135</v>
      </c>
      <c r="E2" s="4" t="s">
        <v>143</v>
      </c>
      <c r="F2" t="s">
        <v>150</v>
      </c>
      <c r="G2" t="s">
        <v>155</v>
      </c>
      <c r="H2" t="s">
        <v>162</v>
      </c>
      <c r="I2" t="s">
        <v>164</v>
      </c>
      <c r="J2" t="s">
        <v>165</v>
      </c>
      <c r="K2" t="s">
        <v>171</v>
      </c>
      <c r="L2" t="s">
        <v>173</v>
      </c>
      <c r="M2" t="s">
        <v>177</v>
      </c>
      <c r="N2" t="s">
        <v>180</v>
      </c>
      <c r="O2" s="5" t="s">
        <v>181</v>
      </c>
      <c r="P2" s="5" t="s">
        <v>182</v>
      </c>
      <c r="Q2" s="1" t="s">
        <v>183</v>
      </c>
      <c r="R2" t="s">
        <v>185</v>
      </c>
      <c r="S2" s="1" t="s">
        <v>202</v>
      </c>
      <c r="T2" t="s">
        <v>214</v>
      </c>
      <c r="U2" t="s">
        <v>216</v>
      </c>
      <c r="V2" t="s">
        <v>218</v>
      </c>
      <c r="W2" t="s">
        <v>221</v>
      </c>
      <c r="X2" t="s">
        <v>225</v>
      </c>
      <c r="Y2" s="5" t="s">
        <v>224</v>
      </c>
      <c r="Z2" t="s">
        <v>245</v>
      </c>
      <c r="AA2" s="1" t="s">
        <v>243</v>
      </c>
      <c r="AB2" s="1" t="s">
        <v>230</v>
      </c>
      <c r="AC2" t="s">
        <v>229</v>
      </c>
      <c r="AD2" t="s">
        <v>228</v>
      </c>
      <c r="AE2" t="s">
        <v>227</v>
      </c>
      <c r="AF2" t="s">
        <v>226</v>
      </c>
    </row>
    <row r="3" spans="1:32" ht="158.4" x14ac:dyDescent="0.3">
      <c r="A3" s="2" t="s">
        <v>59</v>
      </c>
      <c r="B3" t="s">
        <v>78</v>
      </c>
      <c r="C3" s="2" t="s">
        <v>89</v>
      </c>
      <c r="D3" s="2" t="s">
        <v>136</v>
      </c>
      <c r="E3" t="s">
        <v>144</v>
      </c>
      <c r="F3" t="s">
        <v>151</v>
      </c>
      <c r="G3" t="s">
        <v>156</v>
      </c>
      <c r="H3" t="s">
        <v>163</v>
      </c>
      <c r="J3" t="s">
        <v>166</v>
      </c>
      <c r="K3" t="s">
        <v>172</v>
      </c>
      <c r="L3" t="s">
        <v>174</v>
      </c>
      <c r="M3" t="s">
        <v>178</v>
      </c>
      <c r="Q3" s="3" t="s">
        <v>184</v>
      </c>
      <c r="R3" t="s">
        <v>186</v>
      </c>
      <c r="S3" s="2" t="s">
        <v>203</v>
      </c>
      <c r="T3" t="s">
        <v>215</v>
      </c>
      <c r="U3" t="s">
        <v>217</v>
      </c>
      <c r="V3" t="s">
        <v>219</v>
      </c>
      <c r="W3" t="s">
        <v>222</v>
      </c>
      <c r="Z3" t="s">
        <v>246</v>
      </c>
      <c r="AA3" s="3" t="s">
        <v>244</v>
      </c>
      <c r="AB3" s="2" t="s">
        <v>231</v>
      </c>
    </row>
    <row r="4" spans="1:32" ht="43.2" x14ac:dyDescent="0.3">
      <c r="A4" s="2" t="s">
        <v>60</v>
      </c>
      <c r="B4" t="s">
        <v>79</v>
      </c>
      <c r="C4" s="2" t="s">
        <v>90</v>
      </c>
      <c r="D4" s="2" t="s">
        <v>137</v>
      </c>
      <c r="E4" t="s">
        <v>145</v>
      </c>
      <c r="F4" t="s">
        <v>152</v>
      </c>
      <c r="G4" t="s">
        <v>157</v>
      </c>
      <c r="J4" t="s">
        <v>167</v>
      </c>
      <c r="L4" t="s">
        <v>175</v>
      </c>
      <c r="M4" t="s">
        <v>179</v>
      </c>
      <c r="R4" t="s">
        <v>187</v>
      </c>
      <c r="S4" s="2" t="s">
        <v>204</v>
      </c>
      <c r="V4" t="s">
        <v>220</v>
      </c>
      <c r="W4" t="s">
        <v>223</v>
      </c>
      <c r="Z4" t="s">
        <v>247</v>
      </c>
      <c r="AB4" s="2" t="s">
        <v>232</v>
      </c>
    </row>
    <row r="5" spans="1:32" ht="230.4" x14ac:dyDescent="0.3">
      <c r="A5" s="2" t="s">
        <v>61</v>
      </c>
      <c r="B5" t="s">
        <v>80</v>
      </c>
      <c r="C5" s="2" t="s">
        <v>91</v>
      </c>
      <c r="D5" s="2" t="s">
        <v>138</v>
      </c>
      <c r="E5" t="s">
        <v>146</v>
      </c>
      <c r="F5" t="s">
        <v>153</v>
      </c>
      <c r="G5" t="s">
        <v>158</v>
      </c>
      <c r="J5" t="s">
        <v>168</v>
      </c>
      <c r="L5" t="s">
        <v>176</v>
      </c>
      <c r="R5" t="s">
        <v>188</v>
      </c>
      <c r="S5" s="2" t="s">
        <v>205</v>
      </c>
      <c r="Z5" t="s">
        <v>248</v>
      </c>
      <c r="AB5" s="2" t="s">
        <v>233</v>
      </c>
    </row>
    <row r="6" spans="1:32" ht="72" x14ac:dyDescent="0.3">
      <c r="A6" s="2" t="s">
        <v>62</v>
      </c>
      <c r="B6" t="s">
        <v>81</v>
      </c>
      <c r="C6" s="2" t="s">
        <v>92</v>
      </c>
      <c r="D6" s="2" t="s">
        <v>139</v>
      </c>
      <c r="E6" t="s">
        <v>147</v>
      </c>
      <c r="F6" t="s">
        <v>154</v>
      </c>
      <c r="G6" t="s">
        <v>159</v>
      </c>
      <c r="J6" t="s">
        <v>169</v>
      </c>
      <c r="R6" t="s">
        <v>189</v>
      </c>
      <c r="S6" s="2" t="s">
        <v>206</v>
      </c>
      <c r="AB6" s="2" t="s">
        <v>234</v>
      </c>
    </row>
    <row r="7" spans="1:32" ht="216" x14ac:dyDescent="0.3">
      <c r="A7" s="2" t="s">
        <v>63</v>
      </c>
      <c r="B7" t="s">
        <v>82</v>
      </c>
      <c r="C7" s="2" t="s">
        <v>93</v>
      </c>
      <c r="D7" s="2" t="s">
        <v>140</v>
      </c>
      <c r="E7" t="s">
        <v>148</v>
      </c>
      <c r="G7" t="s">
        <v>160</v>
      </c>
      <c r="J7" t="s">
        <v>170</v>
      </c>
      <c r="R7" t="s">
        <v>190</v>
      </c>
      <c r="S7" s="2" t="s">
        <v>207</v>
      </c>
      <c r="AB7" s="2" t="s">
        <v>235</v>
      </c>
    </row>
    <row r="8" spans="1:32" ht="72" x14ac:dyDescent="0.3">
      <c r="A8" s="2" t="s">
        <v>64</v>
      </c>
      <c r="B8" t="s">
        <v>83</v>
      </c>
      <c r="C8" s="2" t="s">
        <v>94</v>
      </c>
      <c r="D8" s="2" t="s">
        <v>141</v>
      </c>
      <c r="E8" t="s">
        <v>149</v>
      </c>
      <c r="G8" t="s">
        <v>161</v>
      </c>
      <c r="R8" t="s">
        <v>191</v>
      </c>
      <c r="S8" s="2" t="s">
        <v>208</v>
      </c>
      <c r="AB8" s="2" t="s">
        <v>236</v>
      </c>
    </row>
    <row r="9" spans="1:32" ht="144" x14ac:dyDescent="0.3">
      <c r="A9" s="2" t="s">
        <v>65</v>
      </c>
      <c r="B9" t="s">
        <v>84</v>
      </c>
      <c r="C9" s="2" t="s">
        <v>95</v>
      </c>
      <c r="D9" s="3" t="s">
        <v>142</v>
      </c>
      <c r="R9" t="s">
        <v>192</v>
      </c>
      <c r="S9" s="2" t="s">
        <v>209</v>
      </c>
      <c r="AB9" s="2" t="s">
        <v>237</v>
      </c>
    </row>
    <row r="10" spans="1:32" ht="43.2" x14ac:dyDescent="0.3">
      <c r="A10" s="2" t="s">
        <v>66</v>
      </c>
      <c r="B10" t="s">
        <v>85</v>
      </c>
      <c r="C10" s="2" t="s">
        <v>96</v>
      </c>
      <c r="R10" t="s">
        <v>193</v>
      </c>
      <c r="S10" s="2" t="s">
        <v>210</v>
      </c>
      <c r="AB10" s="2" t="s">
        <v>238</v>
      </c>
    </row>
    <row r="11" spans="1:32" ht="158.4" x14ac:dyDescent="0.3">
      <c r="A11" s="2" t="s">
        <v>67</v>
      </c>
      <c r="B11" t="s">
        <v>86</v>
      </c>
      <c r="C11" s="2" t="s">
        <v>97</v>
      </c>
      <c r="R11" t="s">
        <v>194</v>
      </c>
      <c r="S11" s="2" t="s">
        <v>211</v>
      </c>
      <c r="AB11" s="2" t="s">
        <v>239</v>
      </c>
    </row>
    <row r="12" spans="1:32" ht="72" x14ac:dyDescent="0.3">
      <c r="A12" s="2" t="s">
        <v>68</v>
      </c>
      <c r="B12" t="s">
        <v>87</v>
      </c>
      <c r="C12" s="2" t="s">
        <v>98</v>
      </c>
      <c r="R12" t="s">
        <v>195</v>
      </c>
      <c r="S12" s="2" t="s">
        <v>212</v>
      </c>
      <c r="AB12" s="2" t="s">
        <v>240</v>
      </c>
    </row>
    <row r="13" spans="1:32" ht="288" x14ac:dyDescent="0.3">
      <c r="A13" s="2" t="s">
        <v>69</v>
      </c>
      <c r="C13" s="2" t="s">
        <v>99</v>
      </c>
      <c r="R13" t="s">
        <v>196</v>
      </c>
      <c r="S13" s="3" t="s">
        <v>213</v>
      </c>
      <c r="AB13" s="2" t="s">
        <v>241</v>
      </c>
    </row>
    <row r="14" spans="1:32" ht="43.2" x14ac:dyDescent="0.3">
      <c r="A14" s="2" t="s">
        <v>70</v>
      </c>
      <c r="C14" s="2" t="s">
        <v>100</v>
      </c>
      <c r="R14" t="s">
        <v>197</v>
      </c>
      <c r="AB14" s="3" t="s">
        <v>242</v>
      </c>
    </row>
    <row r="15" spans="1:32" ht="28.8" x14ac:dyDescent="0.3">
      <c r="A15" s="2" t="s">
        <v>71</v>
      </c>
      <c r="C15" s="2" t="s">
        <v>101</v>
      </c>
      <c r="R15" t="s">
        <v>198</v>
      </c>
    </row>
    <row r="16" spans="1:32" ht="43.2" x14ac:dyDescent="0.3">
      <c r="A16" s="2" t="s">
        <v>72</v>
      </c>
      <c r="C16" s="2" t="s">
        <v>102</v>
      </c>
      <c r="R16" t="s">
        <v>199</v>
      </c>
    </row>
    <row r="17" spans="1:18" ht="129.6" x14ac:dyDescent="0.3">
      <c r="A17" s="2" t="s">
        <v>73</v>
      </c>
      <c r="C17" s="2" t="s">
        <v>103</v>
      </c>
      <c r="R17" t="s">
        <v>200</v>
      </c>
    </row>
    <row r="18" spans="1:18" ht="100.8" x14ac:dyDescent="0.3">
      <c r="A18" s="2" t="s">
        <v>74</v>
      </c>
      <c r="C18" s="2" t="s">
        <v>104</v>
      </c>
      <c r="R18" t="s">
        <v>201</v>
      </c>
    </row>
    <row r="19" spans="1:18" ht="57.6" x14ac:dyDescent="0.3">
      <c r="A19" s="2" t="s">
        <v>75</v>
      </c>
      <c r="C19" s="2" t="s">
        <v>105</v>
      </c>
    </row>
    <row r="20" spans="1:18" ht="100.8" x14ac:dyDescent="0.3">
      <c r="A20" s="3" t="s">
        <v>76</v>
      </c>
      <c r="C20" s="2" t="s">
        <v>106</v>
      </c>
    </row>
    <row r="21" spans="1:18" ht="57.6" x14ac:dyDescent="0.3">
      <c r="C21" s="2" t="s">
        <v>107</v>
      </c>
    </row>
    <row r="22" spans="1:18" ht="72" x14ac:dyDescent="0.3">
      <c r="C22" s="2" t="s">
        <v>108</v>
      </c>
    </row>
    <row r="23" spans="1:18" ht="28.8" x14ac:dyDescent="0.3">
      <c r="C23" s="2" t="s">
        <v>109</v>
      </c>
    </row>
    <row r="24" spans="1:18" ht="28.8" x14ac:dyDescent="0.3">
      <c r="C24" s="2" t="s">
        <v>110</v>
      </c>
    </row>
    <row r="25" spans="1:18" ht="158.4" x14ac:dyDescent="0.3">
      <c r="C25" s="2" t="s">
        <v>111</v>
      </c>
    </row>
    <row r="26" spans="1:18" ht="28.8" x14ac:dyDescent="0.3">
      <c r="C26" s="2" t="s">
        <v>112</v>
      </c>
    </row>
    <row r="27" spans="1:18" ht="43.2" x14ac:dyDescent="0.3">
      <c r="C27" s="2" t="s">
        <v>113</v>
      </c>
    </row>
    <row r="28" spans="1:18" ht="28.8" x14ac:dyDescent="0.3">
      <c r="C28" s="2" t="s">
        <v>114</v>
      </c>
    </row>
    <row r="29" spans="1:18" ht="57.6" x14ac:dyDescent="0.3">
      <c r="C29" s="2" t="s">
        <v>115</v>
      </c>
    </row>
    <row r="30" spans="1:18" ht="57.6" x14ac:dyDescent="0.3">
      <c r="C30" s="2" t="s">
        <v>116</v>
      </c>
    </row>
    <row r="31" spans="1:18" ht="43.2" x14ac:dyDescent="0.3">
      <c r="C31" s="2" t="s">
        <v>117</v>
      </c>
    </row>
    <row r="32" spans="1:18" ht="158.4" x14ac:dyDescent="0.3">
      <c r="C32" s="2" t="s">
        <v>118</v>
      </c>
    </row>
    <row r="33" spans="3:3" ht="28.8" x14ac:dyDescent="0.3">
      <c r="C33" s="2" t="s">
        <v>119</v>
      </c>
    </row>
    <row r="34" spans="3:3" ht="100.8" x14ac:dyDescent="0.3">
      <c r="C34" s="2" t="s">
        <v>120</v>
      </c>
    </row>
    <row r="35" spans="3:3" ht="43.2" x14ac:dyDescent="0.3">
      <c r="C35" s="2" t="s">
        <v>121</v>
      </c>
    </row>
    <row r="36" spans="3:3" ht="100.8" x14ac:dyDescent="0.3">
      <c r="C36" s="2" t="s">
        <v>122</v>
      </c>
    </row>
    <row r="37" spans="3:3" ht="72" x14ac:dyDescent="0.3">
      <c r="C37" s="2" t="s">
        <v>123</v>
      </c>
    </row>
    <row r="38" spans="3:3" ht="115.2" x14ac:dyDescent="0.3">
      <c r="C38" s="2" t="s">
        <v>124</v>
      </c>
    </row>
    <row r="39" spans="3:3" ht="57.6" x14ac:dyDescent="0.3">
      <c r="C39" s="2" t="s">
        <v>125</v>
      </c>
    </row>
    <row r="40" spans="3:3" ht="72" x14ac:dyDescent="0.3">
      <c r="C40" s="2" t="s">
        <v>126</v>
      </c>
    </row>
    <row r="41" spans="3:3" ht="72" x14ac:dyDescent="0.3">
      <c r="C41" s="2" t="s">
        <v>127</v>
      </c>
    </row>
    <row r="42" spans="3:3" ht="129.6" x14ac:dyDescent="0.3">
      <c r="C42" s="2" t="s">
        <v>128</v>
      </c>
    </row>
    <row r="43" spans="3:3" ht="129.6" x14ac:dyDescent="0.3">
      <c r="C43" s="2" t="s">
        <v>129</v>
      </c>
    </row>
    <row r="44" spans="3:3" ht="72" x14ac:dyDescent="0.3">
      <c r="C44" s="2" t="s">
        <v>130</v>
      </c>
    </row>
    <row r="45" spans="3:3" ht="57.6" x14ac:dyDescent="0.3">
      <c r="C45" s="2" t="s">
        <v>131</v>
      </c>
    </row>
    <row r="46" spans="3:3" ht="86.4" x14ac:dyDescent="0.3">
      <c r="C46" s="2" t="s">
        <v>132</v>
      </c>
    </row>
    <row r="47" spans="3:3" ht="57.6" x14ac:dyDescent="0.3">
      <c r="C47" s="2" t="s">
        <v>133</v>
      </c>
    </row>
    <row r="48" spans="3:3" ht="115.2" x14ac:dyDescent="0.3">
      <c r="C48" s="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1860-CEDB-4C06-9A18-94F3839D4C2D}">
  <dimension ref="F1:H32"/>
  <sheetViews>
    <sheetView tabSelected="1" workbookViewId="0">
      <selection activeCell="H1" sqref="H1"/>
    </sheetView>
  </sheetViews>
  <sheetFormatPr defaultRowHeight="14.4" x14ac:dyDescent="0.3"/>
  <sheetData>
    <row r="1" spans="6:8" x14ac:dyDescent="0.3">
      <c r="F1" t="s">
        <v>24</v>
      </c>
      <c r="H1" t="str">
        <f>_xlfn.TEXTJOIN(", ",TRUE,F:F)</f>
        <v>C-AAGR, C-IMIN, C-IRES, C-NG, C-BIO, C-POWF, C-POWR, C-POWT, C-LTH, C-COTH, C-CCON, C-CWSR, C-COFF, C-C_TRAI, C-C_TLND, C-C_TPIP, C-CHEA, C-Waste, C-COAL, C-CRUDE-OIL, C-GASE, C-OIL-GSL, C-OIL-JET, C-OIL-KER, C-OIL-DSL, C-OIL-HDI, C-OIL-LDSF, C-IMEA, C-C_TWAS, C-C_TWAI, C-C_TAIR, C-COIL</v>
      </c>
    </row>
    <row r="2" spans="6:8" x14ac:dyDescent="0.3">
      <c r="F2" t="s">
        <v>25</v>
      </c>
    </row>
    <row r="3" spans="6:8" x14ac:dyDescent="0.3">
      <c r="F3" t="s">
        <v>26</v>
      </c>
    </row>
    <row r="4" spans="6:8" x14ac:dyDescent="0.3">
      <c r="F4" t="s">
        <v>27</v>
      </c>
    </row>
    <row r="5" spans="6:8" x14ac:dyDescent="0.3">
      <c r="F5" t="s">
        <v>28</v>
      </c>
    </row>
    <row r="6" spans="6:8" x14ac:dyDescent="0.3">
      <c r="F6" t="s">
        <v>29</v>
      </c>
    </row>
    <row r="7" spans="6:8" x14ac:dyDescent="0.3">
      <c r="F7" t="s">
        <v>30</v>
      </c>
    </row>
    <row r="8" spans="6:8" x14ac:dyDescent="0.3">
      <c r="F8" t="s">
        <v>31</v>
      </c>
    </row>
    <row r="9" spans="6:8" x14ac:dyDescent="0.3">
      <c r="F9" t="s">
        <v>32</v>
      </c>
    </row>
    <row r="10" spans="6:8" x14ac:dyDescent="0.3">
      <c r="F10" t="s">
        <v>33</v>
      </c>
    </row>
    <row r="11" spans="6:8" x14ac:dyDescent="0.3">
      <c r="F11" t="s">
        <v>34</v>
      </c>
    </row>
    <row r="12" spans="6:8" x14ac:dyDescent="0.3">
      <c r="F12" t="s">
        <v>35</v>
      </c>
    </row>
    <row r="13" spans="6:8" x14ac:dyDescent="0.3">
      <c r="F13" t="s">
        <v>36</v>
      </c>
    </row>
    <row r="14" spans="6:8" x14ac:dyDescent="0.3">
      <c r="F14" t="s">
        <v>37</v>
      </c>
    </row>
    <row r="15" spans="6:8" x14ac:dyDescent="0.3">
      <c r="F15" t="s">
        <v>38</v>
      </c>
    </row>
    <row r="16" spans="6:8" x14ac:dyDescent="0.3">
      <c r="F16" t="s">
        <v>39</v>
      </c>
    </row>
    <row r="17" spans="6:6" x14ac:dyDescent="0.3">
      <c r="F17" t="s">
        <v>40</v>
      </c>
    </row>
    <row r="18" spans="6:6" x14ac:dyDescent="0.3">
      <c r="F18" t="s">
        <v>41</v>
      </c>
    </row>
    <row r="19" spans="6:6" x14ac:dyDescent="0.3">
      <c r="F19" t="s">
        <v>42</v>
      </c>
    </row>
    <row r="20" spans="6:6" x14ac:dyDescent="0.3">
      <c r="F20" t="s">
        <v>43</v>
      </c>
    </row>
    <row r="21" spans="6:6" x14ac:dyDescent="0.3">
      <c r="F21" t="s">
        <v>44</v>
      </c>
    </row>
    <row r="22" spans="6:6" x14ac:dyDescent="0.3">
      <c r="F22" t="s">
        <v>45</v>
      </c>
    </row>
    <row r="23" spans="6:6" x14ac:dyDescent="0.3">
      <c r="F23" t="s">
        <v>46</v>
      </c>
    </row>
    <row r="24" spans="6:6" x14ac:dyDescent="0.3">
      <c r="F24" t="s">
        <v>47</v>
      </c>
    </row>
    <row r="25" spans="6:6" x14ac:dyDescent="0.3">
      <c r="F25" t="s">
        <v>48</v>
      </c>
    </row>
    <row r="26" spans="6:6" x14ac:dyDescent="0.3">
      <c r="F26" t="s">
        <v>49</v>
      </c>
    </row>
    <row r="27" spans="6:6" x14ac:dyDescent="0.3">
      <c r="F27" t="s">
        <v>50</v>
      </c>
    </row>
    <row r="28" spans="6:6" x14ac:dyDescent="0.3">
      <c r="F28" t="s">
        <v>51</v>
      </c>
    </row>
    <row r="29" spans="6:6" x14ac:dyDescent="0.3">
      <c r="F29" t="s">
        <v>52</v>
      </c>
    </row>
    <row r="30" spans="6:6" x14ac:dyDescent="0.3">
      <c r="F30" t="s">
        <v>53</v>
      </c>
    </row>
    <row r="31" spans="6:6" x14ac:dyDescent="0.3">
      <c r="F31" t="s">
        <v>54</v>
      </c>
    </row>
    <row r="32" spans="6:6" x14ac:dyDescent="0.3">
      <c r="F3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Commodities</vt:lpstr>
      <vt:lpstr>Sectors</vt:lpstr>
      <vt:lpstr>Sheet4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Kolstad</dc:creator>
  <cp:lastModifiedBy>Aurora Kolstad</cp:lastModifiedBy>
  <dcterms:created xsi:type="dcterms:W3CDTF">2015-06-05T18:17:20Z</dcterms:created>
  <dcterms:modified xsi:type="dcterms:W3CDTF">2025-11-16T12:05:34Z</dcterms:modified>
</cp:coreProperties>
</file>